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bookViews>
    <workbookView showHorizontalScroll="true" showVerticalScroll="true" showSheetTabs="true" xWindow="0" yWindow="0" windowWidth="16384" windowHeight="8192" tabRatio="600" firstSheet="0" activeTab="0"/>
  </bookViews>
  <sheets>
    <sheet name="الفاتورة" sheetId="1" state="visible" r:id="rId3"/>
    <sheet name="باكيت وبرطمان" sheetId="2" state="visible" r:id="rId4"/>
    <sheet name="ملخص حسب الوحدة" sheetId="3" state="visible" r:id="rId5"/>
    <sheet name="اختلاف الشد عن الاسم" sheetId="4" state="visible" r:id="rId6"/>
  </sheets>
  <definedNames>
    <definedName function="false" hidden="false" localSheetId="0" name="_xlnm.Print_Titles" vbProcedure="false">'الفاتورة'!$1:$8</definedName>
    <definedName function="false" hidden="true" localSheetId="0" name="_xlnm._FilterDatabase" vbProcedure="false">الفاتورة!$A$7:$J$93</definedName>
    <definedName function="false" hidden="false" localSheetId="1" name="_xlnm.Print_Titles" vbProcedure="false">'باكيت وبرطمان'!$1:$7</definedName>
    <definedName function="false" hidden="true" localSheetId="1" name="_xlnm._FilterDatabase" vbProcedure="false">'باكيت وبرطمان'!$A$6:$H$68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<sst xmlns="http://schemas.openxmlformats.org/spreadsheetml/2006/main" count="407" uniqueCount="164">
  <si>
    <t xml:space="preserve">شركة مركز عالم الحلويات للأسواق المركزية</t>
  </si>
  <si>
    <r>
      <rPr>
        <b val="true"/>
        <sz val="14"/>
        <color rgb="FFFFFFFF"/>
        <rFont val="Noto Sans Devanagari"/>
        <family val="2"/>
      </rPr>
      <t xml:space="preserve">سعر الحبة الواحدة  </t>
    </r>
    <r>
      <rPr>
        <b val="true"/>
        <sz val="14"/>
        <color rgb="FFFFFFFF"/>
        <rFont val="Calibri"/>
        <family val="0"/>
        <charset val="1"/>
      </rPr>
      <t xml:space="preserve">|  </t>
    </r>
    <r>
      <rPr>
        <b val="true"/>
        <sz val="14"/>
        <color rgb="FFFFFFFF"/>
        <rFont val="Noto Sans Devanagari"/>
        <family val="2"/>
      </rPr>
      <t xml:space="preserve">فاتورة بالحساب رقم </t>
    </r>
    <r>
      <rPr>
        <b val="true"/>
        <sz val="14"/>
        <color rgb="FFFFFFFF"/>
        <rFont val="Calibri"/>
        <family val="0"/>
        <charset val="1"/>
      </rPr>
      <t xml:space="preserve">26002232  |  </t>
    </r>
    <r>
      <rPr>
        <b val="true"/>
        <sz val="14"/>
        <color rgb="FFFFFFFF"/>
        <rFont val="Noto Sans Devanagari"/>
        <family val="2"/>
      </rPr>
      <t xml:space="preserve">التاريخ </t>
    </r>
    <r>
      <rPr>
        <b val="true"/>
        <sz val="14"/>
        <color rgb="FFFFFFFF"/>
        <rFont val="Calibri"/>
        <family val="0"/>
        <charset val="1"/>
      </rPr>
      <t xml:space="preserve">03/10/2026</t>
    </r>
  </si>
  <si>
    <r>
      <rPr>
        <b val="true"/>
        <sz val="12"/>
        <color rgb="FF1F4E79"/>
        <rFont val="Noto Sans Devanagari"/>
        <family val="2"/>
      </rPr>
      <t xml:space="preserve">العميل</t>
    </r>
    <r>
      <rPr>
        <b val="true"/>
        <sz val="12"/>
        <color rgb="FF1F4E79"/>
        <rFont val="Calibri"/>
        <family val="0"/>
        <charset val="1"/>
      </rPr>
      <t xml:space="preserve">: </t>
    </r>
    <r>
      <rPr>
        <b val="true"/>
        <sz val="12"/>
        <color rgb="FF1F4E79"/>
        <rFont val="Noto Sans Devanagari"/>
        <family val="2"/>
      </rPr>
      <t xml:space="preserve">شركة بقالة بيغ ياغ    </t>
    </r>
    <r>
      <rPr>
        <b val="true"/>
        <sz val="12"/>
        <color rgb="FF1F4E79"/>
        <rFont val="Calibri"/>
        <family val="0"/>
        <charset val="1"/>
      </rPr>
      <t xml:space="preserve">|    </t>
    </r>
    <r>
      <rPr>
        <b val="true"/>
        <sz val="12"/>
        <color rgb="FF1F4E79"/>
        <rFont val="Noto Sans Devanagari"/>
        <family val="2"/>
      </rPr>
      <t xml:space="preserve">رقم الحساب</t>
    </r>
    <r>
      <rPr>
        <b val="true"/>
        <sz val="12"/>
        <color rgb="FF1F4E79"/>
        <rFont val="Calibri"/>
        <family val="0"/>
        <charset val="1"/>
      </rPr>
      <t xml:space="preserve">: 1815    |    </t>
    </r>
    <r>
      <rPr>
        <b val="true"/>
        <sz val="12"/>
        <color rgb="FF1F4E79"/>
        <rFont val="Noto Sans Devanagari"/>
        <family val="2"/>
      </rPr>
      <t xml:space="preserve">البائع</t>
    </r>
    <r>
      <rPr>
        <b val="true"/>
        <sz val="12"/>
        <color rgb="FF1F4E79"/>
        <rFont val="Calibri"/>
        <family val="0"/>
        <charset val="1"/>
      </rPr>
      <t xml:space="preserve">: gus    |    </t>
    </r>
    <r>
      <rPr>
        <b val="true"/>
        <sz val="12"/>
        <color rgb="FF1F4E79"/>
        <rFont val="Noto Sans Devanagari"/>
        <family val="2"/>
      </rPr>
      <t xml:space="preserve">الإجمالي</t>
    </r>
    <r>
      <rPr>
        <b val="true"/>
        <sz val="12"/>
        <color rgb="FF1F4E79"/>
        <rFont val="Calibri"/>
        <family val="0"/>
        <charset val="1"/>
      </rPr>
      <t xml:space="preserve">: 331.500 </t>
    </r>
    <r>
      <rPr>
        <b val="true"/>
        <sz val="12"/>
        <color rgb="FF1F4E79"/>
        <rFont val="Noto Sans Devanagari"/>
        <family val="2"/>
      </rPr>
      <t xml:space="preserve">د</t>
    </r>
    <r>
      <rPr>
        <b val="true"/>
        <sz val="12"/>
        <color rgb="FF1F4E79"/>
        <rFont val="Calibri"/>
        <family val="0"/>
        <charset val="1"/>
      </rPr>
      <t xml:space="preserve">.</t>
    </r>
    <r>
      <rPr>
        <b val="true"/>
        <sz val="12"/>
        <color rgb="FF1F4E79"/>
        <rFont val="Noto Sans Devanagari"/>
        <family val="2"/>
      </rPr>
      <t xml:space="preserve">ك    </t>
    </r>
    <r>
      <rPr>
        <b val="true"/>
        <sz val="12"/>
        <color rgb="FF1F4E79"/>
        <rFont val="Calibri"/>
        <family val="0"/>
        <charset val="1"/>
      </rPr>
      <t xml:space="preserve">|    </t>
    </r>
    <r>
      <rPr>
        <b val="true"/>
        <sz val="12"/>
        <color rgb="FF1F4E79"/>
        <rFont val="Noto Sans Devanagari"/>
        <family val="2"/>
      </rPr>
      <t xml:space="preserve">العدد</t>
    </r>
    <r>
      <rPr>
        <b val="true"/>
        <sz val="12"/>
        <color rgb="FF1F4E79"/>
        <rFont val="Calibri"/>
        <family val="0"/>
        <charset val="1"/>
      </rPr>
      <t xml:space="preserve">: 141</t>
    </r>
  </si>
  <si>
    <r>
      <rPr>
        <sz val="11"/>
        <color rgb="FF333333"/>
        <rFont val="Noto Sans Devanagari"/>
        <family val="2"/>
      </rPr>
      <t xml:space="preserve">طريقة الحساب</t>
    </r>
    <r>
      <rPr>
        <sz val="11"/>
        <color rgb="FF333333"/>
        <rFont val="Calibri"/>
        <family val="0"/>
        <charset val="1"/>
      </rPr>
      <t xml:space="preserve">: </t>
    </r>
    <r>
      <rPr>
        <sz val="11"/>
        <color rgb="FF333333"/>
        <rFont val="Noto Sans Devanagari"/>
        <family val="2"/>
      </rPr>
      <t xml:space="preserve">سعر الحبة </t>
    </r>
    <r>
      <rPr>
        <sz val="11"/>
        <color rgb="FF333333"/>
        <rFont val="Calibri"/>
        <family val="0"/>
        <charset val="1"/>
      </rPr>
      <t xml:space="preserve">= </t>
    </r>
    <r>
      <rPr>
        <sz val="11"/>
        <color rgb="FF333333"/>
        <rFont val="Noto Sans Devanagari"/>
        <family val="2"/>
      </rPr>
      <t xml:space="preserve">سعر الوحدة </t>
    </r>
    <r>
      <rPr>
        <sz val="11"/>
        <color rgb="FF333333"/>
        <rFont val="Calibri"/>
        <family val="0"/>
        <charset val="1"/>
      </rPr>
      <t xml:space="preserve">÷ </t>
    </r>
    <r>
      <rPr>
        <sz val="11"/>
        <color rgb="FF333333"/>
        <rFont val="Noto Sans Devanagari"/>
        <family val="2"/>
      </rPr>
      <t xml:space="preserve">الشد</t>
    </r>
    <r>
      <rPr>
        <sz val="11"/>
        <color rgb="FF333333"/>
        <rFont val="Calibri"/>
        <family val="0"/>
        <charset val="1"/>
      </rPr>
      <t xml:space="preserve">. </t>
    </r>
    <r>
      <rPr>
        <sz val="11"/>
        <color rgb="FF333333"/>
        <rFont val="Noto Sans Devanagari"/>
        <family val="2"/>
      </rPr>
      <t xml:space="preserve">إذا كانت الوحدة حبة فالشد </t>
    </r>
    <r>
      <rPr>
        <sz val="11"/>
        <color rgb="FF333333"/>
        <rFont val="Calibri"/>
        <family val="0"/>
        <charset val="1"/>
      </rPr>
      <t xml:space="preserve">= </t>
    </r>
    <r>
      <rPr>
        <sz val="11"/>
        <color rgb="FF333333"/>
        <rFont val="Noto Sans Devanagari"/>
        <family val="2"/>
      </rPr>
      <t xml:space="preserve">١ وسعر الحبة هو سعر الوحدة</t>
    </r>
    <r>
      <rPr>
        <sz val="11"/>
        <color rgb="FF333333"/>
        <rFont val="Calibri"/>
        <family val="0"/>
        <charset val="1"/>
      </rPr>
      <t xml:space="preserve">. </t>
    </r>
    <r>
      <rPr>
        <sz val="11"/>
        <color rgb="FF333333"/>
        <rFont val="Noto Sans Devanagari"/>
        <family val="2"/>
      </rPr>
      <t xml:space="preserve">إذا كانت باكيت أو برطمان أو أي عبوة أخرى، يُقسَّم سعر العبوة على عدد الحبات في عمود الشد</t>
    </r>
    <r>
      <rPr>
        <sz val="11"/>
        <color rgb="FF333333"/>
        <rFont val="Calibri"/>
        <family val="0"/>
        <charset val="1"/>
      </rPr>
      <t xml:space="preserve">.</t>
    </r>
  </si>
  <si>
    <r>
      <rPr>
        <sz val="11"/>
        <color rgb="FF333333"/>
        <rFont val="Noto Sans Devanagari"/>
        <family val="2"/>
      </rPr>
      <t xml:space="preserve">الأسعار بالدينار الكويتي</t>
    </r>
    <r>
      <rPr>
        <sz val="11"/>
        <color rgb="FF333333"/>
        <rFont val="Calibri"/>
        <family val="0"/>
        <charset val="1"/>
      </rPr>
      <t xml:space="preserve">. </t>
    </r>
    <r>
      <rPr>
        <sz val="11"/>
        <color rgb="FF333333"/>
        <rFont val="Noto Sans Devanagari"/>
        <family val="2"/>
      </rPr>
      <t xml:space="preserve">سعر الوحدة والإجمالي كما في الفاتورة </t>
    </r>
    <r>
      <rPr>
        <sz val="11"/>
        <color rgb="FF333333"/>
        <rFont val="Calibri"/>
        <family val="0"/>
        <charset val="1"/>
      </rPr>
      <t xml:space="preserve">(</t>
    </r>
    <r>
      <rPr>
        <sz val="11"/>
        <color rgb="FF333333"/>
        <rFont val="Noto Sans Devanagari"/>
        <family val="2"/>
      </rPr>
      <t xml:space="preserve">٣ خانات</t>
    </r>
    <r>
      <rPr>
        <sz val="11"/>
        <color rgb="FF333333"/>
        <rFont val="Calibri"/>
        <family val="0"/>
        <charset val="1"/>
      </rPr>
      <t xml:space="preserve">). </t>
    </r>
    <r>
      <rPr>
        <sz val="11"/>
        <color rgb="FF333333"/>
        <rFont val="Noto Sans Devanagari"/>
        <family val="2"/>
      </rPr>
      <t xml:space="preserve">سعر الحبة موضّح بأربع خانات حتى تظهر الكسور الصغيرة مثل ٠</t>
    </r>
    <r>
      <rPr>
        <sz val="11"/>
        <color rgb="FF333333"/>
        <rFont val="Calibri"/>
        <family val="0"/>
        <charset val="1"/>
      </rPr>
      <t xml:space="preserve">.</t>
    </r>
    <r>
      <rPr>
        <sz val="11"/>
        <color rgb="FF333333"/>
        <rFont val="Noto Sans Devanagari"/>
        <family val="2"/>
      </rPr>
      <t xml:space="preserve">٠٣٥٠</t>
    </r>
    <r>
      <rPr>
        <sz val="11"/>
        <color rgb="FF333333"/>
        <rFont val="Calibri"/>
        <family val="0"/>
        <charset val="1"/>
      </rPr>
      <t xml:space="preserve">. </t>
    </r>
    <r>
      <rPr>
        <sz val="11"/>
        <color rgb="FF333333"/>
        <rFont val="Noto Sans Devanagari"/>
        <family val="2"/>
      </rPr>
      <t xml:space="preserve">الصفوف الملونة حسب نوع الوحدة، وعمود سعر الحبة مميز بالذهبي</t>
    </r>
    <r>
      <rPr>
        <sz val="11"/>
        <color rgb="FF333333"/>
        <rFont val="Calibri"/>
        <family val="0"/>
        <charset val="1"/>
      </rPr>
      <t xml:space="preserve">.</t>
    </r>
  </si>
  <si>
    <t xml:space="preserve">رقم الصنف</t>
  </si>
  <si>
    <t xml:space="preserve">اسم الصنف</t>
  </si>
  <si>
    <r>
      <rPr>
        <b val="true"/>
        <sz val="11"/>
        <color rgb="FFFFFFFF"/>
        <rFont val="Noto Sans Devanagari"/>
        <family val="2"/>
      </rPr>
      <t xml:space="preserve">الشد
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حبات في العبوة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</si>
  <si>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الوحدة</t>
  </si>
  <si>
    <t xml:space="preserve">العدد</t>
  </si>
  <si>
    <r>
      <rPr>
        <b val="true"/>
        <sz val="11"/>
        <color rgb="FFFFFFFF"/>
        <rFont val="Noto Sans Devanagari"/>
        <family val="2"/>
      </rPr>
      <t xml:space="preserve">سعر الوحدة
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د.ك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</si>
  <si>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Devanagari"/>
        <family val="2"/>
      </rPr>
      <t xml:space="preserve">السعر الإجمالي
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د.ك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</si>
  <si>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Devanagari"/>
        <family val="2"/>
      </rPr>
      <t xml:space="preserve">سعر الحبة
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د.ك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</si>
  <si>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Devanagari"/>
        <family val="2"/>
      </rPr>
      <t xml:space="preserve">إجمالي الحبات
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الشد × العدد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</si>
  <si>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تنبيه</t>
  </si>
  <si>
    <t xml:space="preserve">مصاص ايل انتيكا مرطبان قلب احمر ٤٠ حبة</t>
  </si>
  <si>
    <t xml:space="preserve">برطمان</t>
  </si>
  <si>
    <t xml:space="preserve">مصاص ايل انتيكا مرطبان بروش ازرق ٤٠ حبة</t>
  </si>
  <si>
    <t xml:space="preserve">ايتي بوب كيك بصلصة الشوكولاتة ٣٥ جم</t>
  </si>
  <si>
    <t xml:space="preserve">باكيت</t>
  </si>
  <si>
    <t xml:space="preserve">علك ماكينة لاكي يورسويت مشكل ١٢ حبة</t>
  </si>
  <si>
    <t xml:space="preserve">علك ماكينة سبين يورسويت مشكل ١٢ حبة</t>
  </si>
  <si>
    <r>
      <rPr>
        <sz val="12"/>
        <color rgb="FF000000"/>
        <rFont val="Noto Sans Devanagari"/>
        <family val="2"/>
      </rPr>
      <t xml:space="preserve">بسكويت ريتز اصلي باكيت ٣٩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٦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١٢ جم</t>
    </r>
  </si>
  <si>
    <t xml:space="preserve">رول اب حلوى يامي تريت باكيت ١٠ حبة</t>
  </si>
  <si>
    <r>
      <rPr>
        <sz val="12"/>
        <color rgb="FF000000"/>
        <rFont val="Noto Sans Devanagari"/>
        <family val="2"/>
      </rPr>
      <t xml:space="preserve">جلي رسومات حيوانات فيدال كريبي ٦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١١</t>
    </r>
  </si>
  <si>
    <r>
      <rPr>
        <sz val="12"/>
        <color rgb="FF000000"/>
        <rFont val="Noto Sans Devanagari"/>
        <family val="2"/>
      </rPr>
      <t xml:space="preserve">جلي رسومات حيوانات فيدال اوشن ٦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١١</t>
    </r>
  </si>
  <si>
    <t xml:space="preserve">جلي بودينج ريكو ٤٠ جم مشكل</t>
  </si>
  <si>
    <r>
      <rPr>
        <sz val="12"/>
        <color rgb="FF000000"/>
        <rFont val="Noto Sans Devanagari"/>
        <family val="2"/>
      </rPr>
      <t xml:space="preserve">بسكويت اوريو اصلي باكيت ٣٦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٨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١٢ جم</t>
    </r>
  </si>
  <si>
    <t xml:space="preserve">علك فولي فولي باكت ١٢ حبة توتي</t>
  </si>
  <si>
    <t xml:space="preserve">علك فولي فولي باكت ١٢ حبة فراولة</t>
  </si>
  <si>
    <r>
      <rPr>
        <sz val="12"/>
        <color rgb="FF000000"/>
        <rFont val="Noto Sans Devanagari"/>
        <family val="2"/>
      </rPr>
      <t xml:space="preserve">شيكولاتة ميلكا ليو ٣٣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٣ جم</t>
    </r>
  </si>
  <si>
    <t xml:space="preserve">جلي توتي فروتي فواكه ١٨ جم</t>
  </si>
  <si>
    <t xml:space="preserve">شيكولاتة الماني كريسماس علب ٢٠ حبة ١٥ جم</t>
  </si>
  <si>
    <t xml:space="preserve">علبة</t>
  </si>
  <si>
    <r>
      <rPr>
        <sz val="12"/>
        <color rgb="FF000000"/>
        <rFont val="Noto Sans Devanagari"/>
        <family val="2"/>
      </rPr>
      <t xml:space="preserve">الاسم يذكر </t>
    </r>
    <r>
      <rPr>
        <sz val="12"/>
        <color rgb="FF000000"/>
        <rFont val="Calibri"/>
        <family val="0"/>
        <charset val="1"/>
      </rPr>
      <t xml:space="preserve">20 </t>
    </r>
    <r>
      <rPr>
        <sz val="12"/>
        <color rgb="FF000000"/>
        <rFont val="Noto Sans Devanagari"/>
        <family val="2"/>
      </rPr>
      <t xml:space="preserve">حبة بينما عمود الشد </t>
    </r>
    <r>
      <rPr>
        <sz val="12"/>
        <color rgb="FF000000"/>
        <rFont val="Calibri"/>
        <family val="0"/>
        <charset val="1"/>
      </rPr>
      <t xml:space="preserve">= 1. </t>
    </r>
    <r>
      <rPr>
        <sz val="12"/>
        <color rgb="FF000000"/>
        <rFont val="Noto Sans Devanagari"/>
        <family val="2"/>
      </rPr>
      <t xml:space="preserve">سعر الحبة في العمود محسوب على الشد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لو قُسم سعر الوحدة على </t>
    </r>
    <r>
      <rPr>
        <sz val="12"/>
        <color rgb="FF000000"/>
        <rFont val="Calibri"/>
        <family val="0"/>
        <charset val="1"/>
      </rPr>
      <t xml:space="preserve">20 </t>
    </r>
    <r>
      <rPr>
        <sz val="12"/>
        <color rgb="FF000000"/>
        <rFont val="Noto Sans Devanagari"/>
        <family val="2"/>
      </rPr>
      <t xml:space="preserve">يصبح </t>
    </r>
    <r>
      <rPr>
        <sz val="12"/>
        <color rgb="FF000000"/>
        <rFont val="Calibri"/>
        <family val="0"/>
        <charset val="1"/>
      </rPr>
      <t xml:space="preserve">0.0875 </t>
    </r>
    <r>
      <rPr>
        <sz val="12"/>
        <color rgb="FF000000"/>
        <rFont val="Noto Sans Devanagari"/>
        <family val="2"/>
      </rPr>
      <t xml:space="preserve">د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ك</t>
    </r>
    <r>
      <rPr>
        <sz val="12"/>
        <color rgb="FF000000"/>
        <rFont val="Calibri"/>
        <family val="0"/>
        <charset val="1"/>
      </rPr>
      <t xml:space="preserve">.</t>
    </r>
  </si>
  <si>
    <t xml:space="preserve">جلي شوربونك كبير ٤٠ جم فراولة</t>
  </si>
  <si>
    <r>
      <rPr>
        <sz val="12"/>
        <color rgb="FF000000"/>
        <rFont val="Noto Sans Devanagari"/>
        <family val="2"/>
      </rPr>
      <t xml:space="preserve">شيكولاتة هرشيز بالحليب باكت ٤٠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٢٤ جم</t>
    </r>
  </si>
  <si>
    <r>
      <rPr>
        <sz val="12"/>
        <color rgb="FF000000"/>
        <rFont val="Noto Sans Devanagari"/>
        <family val="2"/>
      </rPr>
      <t xml:space="preserve">جيلي عمي ميني الفراولة باكيت ١٥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٣٦ جم</t>
    </r>
  </si>
  <si>
    <t xml:space="preserve">مكسرات الرفاعي بذور مصرية كيس ١٨٠ جم</t>
  </si>
  <si>
    <t xml:space="preserve">حبة</t>
  </si>
  <si>
    <r>
      <rPr>
        <sz val="12"/>
        <color rgb="FF000000"/>
        <rFont val="Noto Sans Devanagari"/>
        <family val="2"/>
      </rPr>
      <t xml:space="preserve">الوحدة حبة، فسعر الحبة هو سعر الوحدة نفسه</t>
    </r>
    <r>
      <rPr>
        <sz val="12"/>
        <color rgb="FF000000"/>
        <rFont val="Calibri"/>
        <family val="0"/>
        <charset val="1"/>
      </rPr>
      <t xml:space="preserve">.</t>
    </r>
  </si>
  <si>
    <t xml:space="preserve">الرفاعي مكسرات مشكل كيس ٣٠٠ جم</t>
  </si>
  <si>
    <r>
      <rPr>
        <sz val="12"/>
        <color rgb="FF000000"/>
        <rFont val="Noto Sans Devanagari"/>
        <family val="2"/>
      </rPr>
      <t xml:space="preserve">بفك ذرة بوب بوب كيس ١٨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٣٠ جرام</t>
    </r>
  </si>
  <si>
    <r>
      <rPr>
        <sz val="12"/>
        <color rgb="FF000000"/>
        <rFont val="Noto Sans Devanagari"/>
        <family val="2"/>
      </rPr>
      <t xml:space="preserve">لوتي علك تيوب كبير بنكهة التوتي فروتي ٣٥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٣٦ جم</t>
    </r>
  </si>
  <si>
    <r>
      <rPr>
        <sz val="12"/>
        <color rgb="FF000000"/>
        <rFont val="Noto Sans Devanagari"/>
        <family val="2"/>
      </rPr>
      <t xml:space="preserve">علك لوتي رول اب توتي ٢٩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٢٤ جم</t>
    </r>
  </si>
  <si>
    <t xml:space="preserve">شعرية فائلاند اكواب بالفلفل ٨٠ جرام</t>
  </si>
  <si>
    <t xml:space="preserve">شعرية فائلاند اكواب بدون فلفل ٨٠ جرام</t>
  </si>
  <si>
    <t xml:space="preserve">شراب فيتامين سي كولامين بطل ١٥٠ مل</t>
  </si>
  <si>
    <t xml:space="preserve">كرتون</t>
  </si>
  <si>
    <t xml:space="preserve">مشروب غازي كينزا ٢٥٠ مل</t>
  </si>
  <si>
    <t xml:space="preserve">مشروب غازي فلاش وردي ٢٥٠ مل</t>
  </si>
  <si>
    <t xml:space="preserve">مشروب غازي فلاش بنكهات طبيعية ٢٥٠ مل</t>
  </si>
  <si>
    <t xml:space="preserve">سوبر مشروب غازي بنكهة التوتي فروتي ٢٥٠ مل</t>
  </si>
  <si>
    <t xml:space="preserve">سوبر مشروب غازي بطعم الايس فانيلا والتوت ٢٥٠ مل</t>
  </si>
  <si>
    <t xml:space="preserve">مكسرات الرفاعي حب الشمس مدخن ١٢٥ جم</t>
  </si>
  <si>
    <t xml:space="preserve">الرفاعي حب دوار الشمس مملح ١٢٥ جم</t>
  </si>
  <si>
    <t xml:space="preserve">يان يان اصابع بسكويت مع كريمة الفانيلا ٥٠ جم</t>
  </si>
  <si>
    <t xml:space="preserve">يان يان اصابع بسكويت مع كريمة البندق ٤٤ جم</t>
  </si>
  <si>
    <t xml:space="preserve">يان يان اصابع بسكويت مع كريمة الشوكولاتة ٥٠ جم</t>
  </si>
  <si>
    <r>
      <rPr>
        <sz val="12"/>
        <color rgb="FF000000"/>
        <rFont val="Noto Sans Devanagari"/>
        <family val="2"/>
      </rPr>
      <t xml:space="preserve">بسكويت هلوباندا ٢١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٣٠ جم</t>
    </r>
  </si>
  <si>
    <t xml:space="preserve">بسكويت هلوباندا بالشوكولاتة اكياس ٣٢ جم</t>
  </si>
  <si>
    <r>
      <rPr>
        <sz val="12"/>
        <color rgb="FF000000"/>
        <rFont val="Noto Sans Devanagari"/>
        <family val="2"/>
      </rPr>
      <t xml:space="preserve">بسكويت لواكر جاردينا بندق باكت ٣٨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٢٥ جم</t>
    </r>
  </si>
  <si>
    <r>
      <rPr>
        <sz val="12"/>
        <color rgb="FF000000"/>
        <rFont val="Noto Sans Devanagari"/>
        <family val="2"/>
      </rPr>
      <t xml:space="preserve">بسكويت لواكر تورتينا ميني بندق باكت ٩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٥٠ جم</t>
    </r>
  </si>
  <si>
    <r>
      <rPr>
        <sz val="12"/>
        <color rgb="FF000000"/>
        <rFont val="Noto Sans Devanagari"/>
        <family val="2"/>
      </rPr>
      <t xml:space="preserve">بسكويت لواكر نواكيني شيكولاتة باكت ١٠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٤٥ جم</t>
    </r>
  </si>
  <si>
    <t xml:space="preserve">شوكولاتة بيض كندر جوى ٤٨ حبة ولادي</t>
  </si>
  <si>
    <t xml:space="preserve">بسكويت لواكر باكيت ٢٥ حبة احمر بندق</t>
  </si>
  <si>
    <t xml:space="preserve">بسكويت لواكر ٢٥ حبة باكيت ازرق كاكاو</t>
  </si>
  <si>
    <r>
      <rPr>
        <sz val="12"/>
        <color rgb="FF000000"/>
        <rFont val="Noto Sans Devanagari"/>
        <family val="2"/>
      </rPr>
      <t xml:space="preserve">الاسم يذكر </t>
    </r>
    <r>
      <rPr>
        <sz val="12"/>
        <color rgb="FF000000"/>
        <rFont val="Calibri"/>
        <family val="0"/>
        <charset val="1"/>
      </rPr>
      <t xml:space="preserve">25 </t>
    </r>
    <r>
      <rPr>
        <sz val="12"/>
        <color rgb="FF000000"/>
        <rFont val="Noto Sans Devanagari"/>
        <family val="2"/>
      </rPr>
      <t xml:space="preserve">حبة بينما عمود الشد </t>
    </r>
    <r>
      <rPr>
        <sz val="12"/>
        <color rgb="FF000000"/>
        <rFont val="Calibri"/>
        <family val="0"/>
        <charset val="1"/>
      </rPr>
      <t xml:space="preserve">= 5. </t>
    </r>
    <r>
      <rPr>
        <sz val="12"/>
        <color rgb="FF000000"/>
        <rFont val="Noto Sans Devanagari"/>
        <family val="2"/>
      </rPr>
      <t xml:space="preserve">سعر الحبة في العمود محسوب على الشد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لو قُسم سعر الوحدة على </t>
    </r>
    <r>
      <rPr>
        <sz val="12"/>
        <color rgb="FF000000"/>
        <rFont val="Calibri"/>
        <family val="0"/>
        <charset val="1"/>
      </rPr>
      <t xml:space="preserve">25 </t>
    </r>
    <r>
      <rPr>
        <sz val="12"/>
        <color rgb="FF000000"/>
        <rFont val="Noto Sans Devanagari"/>
        <family val="2"/>
      </rPr>
      <t xml:space="preserve">يصبح </t>
    </r>
    <r>
      <rPr>
        <sz val="12"/>
        <color rgb="FF000000"/>
        <rFont val="Calibri"/>
        <family val="0"/>
        <charset val="1"/>
      </rPr>
      <t xml:space="preserve">0.2100 </t>
    </r>
    <r>
      <rPr>
        <sz val="12"/>
        <color rgb="FF000000"/>
        <rFont val="Noto Sans Devanagari"/>
        <family val="2"/>
      </rPr>
      <t xml:space="preserve">د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ك</t>
    </r>
    <r>
      <rPr>
        <sz val="12"/>
        <color rgb="FF000000"/>
        <rFont val="Calibri"/>
        <family val="0"/>
        <charset val="1"/>
      </rPr>
      <t xml:space="preserve">.</t>
    </r>
  </si>
  <si>
    <t xml:space="preserve">نيوتيلا اند جو كريمة البندق والكاكاو واصابع الخبز ٥٢ جم</t>
  </si>
  <si>
    <r>
      <rPr>
        <sz val="12"/>
        <color rgb="FF000000"/>
        <rFont val="Noto Sans Devanagari"/>
        <family val="2"/>
      </rPr>
      <t xml:space="preserve">كيندر كاردس بحشوة الكاكاو والحليب ٢٥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٦ جم</t>
    </r>
  </si>
  <si>
    <r>
      <rPr>
        <sz val="12"/>
        <color rgb="FF000000"/>
        <rFont val="Noto Sans Devanagari"/>
        <family val="2"/>
      </rPr>
      <t xml:space="preserve">نيوتيلا بسكويت محشو بكريمة البندق ٤١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٤ جم 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</t>
    </r>
  </si>
  <si>
    <r>
      <rPr>
        <sz val="12"/>
        <color rgb="FF000000"/>
        <rFont val="Noto Sans Devanagari"/>
        <family val="2"/>
      </rPr>
      <t xml:space="preserve">بسكويت لواكر فانيليا باكت ٤٥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٥ جم</t>
    </r>
  </si>
  <si>
    <r>
      <rPr>
        <sz val="12"/>
        <color rgb="FF000000"/>
        <rFont val="Noto Sans Devanagari"/>
        <family val="2"/>
      </rPr>
      <t xml:space="preserve">الوزن في الاسم مكتوب ٤٥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٥ والشد في العمود </t>
    </r>
    <r>
      <rPr>
        <sz val="12"/>
        <color rgb="FF000000"/>
        <rFont val="Calibri"/>
        <family val="0"/>
        <charset val="1"/>
      </rPr>
      <t xml:space="preserve">= </t>
    </r>
    <r>
      <rPr>
        <sz val="12"/>
        <color rgb="FF000000"/>
        <rFont val="Noto Sans Devanagari"/>
        <family val="2"/>
      </rPr>
      <t xml:space="preserve">١، فسعر الحبة حسب العمود يساوي سعر الباكيت</t>
    </r>
    <r>
      <rPr>
        <sz val="12"/>
        <color rgb="FF000000"/>
        <rFont val="Calibri"/>
        <family val="0"/>
        <charset val="1"/>
      </rPr>
      <t xml:space="preserve">.</t>
    </r>
  </si>
  <si>
    <r>
      <rPr>
        <sz val="12"/>
        <color rgb="FF000000"/>
        <rFont val="Noto Sans Devanagari"/>
        <family val="2"/>
      </rPr>
      <t xml:space="preserve">بسكويت لواكر بالحليب باكت ٤٥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٥ جم</t>
    </r>
  </si>
  <si>
    <r>
      <rPr>
        <sz val="12"/>
        <color rgb="FF000000"/>
        <rFont val="Noto Sans Devanagari"/>
        <family val="2"/>
      </rPr>
      <t xml:space="preserve">الوحدة في الفاتورة علبة والشد </t>
    </r>
    <r>
      <rPr>
        <sz val="12"/>
        <color rgb="FF000000"/>
        <rFont val="Calibri"/>
        <family val="0"/>
        <charset val="1"/>
      </rPr>
      <t xml:space="preserve">= </t>
    </r>
    <r>
      <rPr>
        <sz val="12"/>
        <color rgb="FF000000"/>
        <rFont val="Noto Sans Devanagari"/>
        <family val="2"/>
      </rPr>
      <t xml:space="preserve">١، والاسم يذكر باكت ٤٥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٥ جم</t>
    </r>
    <r>
      <rPr>
        <sz val="12"/>
        <color rgb="FF000000"/>
        <rFont val="Calibri"/>
        <family val="0"/>
        <charset val="1"/>
      </rPr>
      <t xml:space="preserve">.</t>
    </r>
  </si>
  <si>
    <t xml:space="preserve">نيوتلا بي ريدي ويفر محشو بالنوتيلا ٢٢ جم</t>
  </si>
  <si>
    <t xml:space="preserve">شوكولاتة فيريرو رافايلو ابيض باكيت ١٦ حبة</t>
  </si>
  <si>
    <r>
      <rPr>
        <sz val="12"/>
        <color rgb="FF000000"/>
        <rFont val="Noto Sans Devanagari"/>
        <family val="2"/>
      </rPr>
      <t xml:space="preserve">الاسم يذكر </t>
    </r>
    <r>
      <rPr>
        <sz val="12"/>
        <color rgb="FF000000"/>
        <rFont val="Calibri"/>
        <family val="0"/>
        <charset val="1"/>
      </rPr>
      <t xml:space="preserve">16 </t>
    </r>
    <r>
      <rPr>
        <sz val="12"/>
        <color rgb="FF000000"/>
        <rFont val="Noto Sans Devanagari"/>
        <family val="2"/>
      </rPr>
      <t xml:space="preserve">حبة بينما عمود الشد </t>
    </r>
    <r>
      <rPr>
        <sz val="12"/>
        <color rgb="FF000000"/>
        <rFont val="Calibri"/>
        <family val="0"/>
        <charset val="1"/>
      </rPr>
      <t xml:space="preserve">= 2. </t>
    </r>
    <r>
      <rPr>
        <sz val="12"/>
        <color rgb="FF000000"/>
        <rFont val="Noto Sans Devanagari"/>
        <family val="2"/>
      </rPr>
      <t xml:space="preserve">سعر الحبة في العمود محسوب على الشد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لو قُسم سعر الوحدة على </t>
    </r>
    <r>
      <rPr>
        <sz val="12"/>
        <color rgb="FF000000"/>
        <rFont val="Calibri"/>
        <family val="0"/>
        <charset val="1"/>
      </rPr>
      <t xml:space="preserve">16 </t>
    </r>
    <r>
      <rPr>
        <sz val="12"/>
        <color rgb="FF000000"/>
        <rFont val="Noto Sans Devanagari"/>
        <family val="2"/>
      </rPr>
      <t xml:space="preserve">يصبح </t>
    </r>
    <r>
      <rPr>
        <sz val="12"/>
        <color rgb="FF000000"/>
        <rFont val="Calibri"/>
        <family val="0"/>
        <charset val="1"/>
      </rPr>
      <t xml:space="preserve">0.2406 </t>
    </r>
    <r>
      <rPr>
        <sz val="12"/>
        <color rgb="FF000000"/>
        <rFont val="Noto Sans Devanagari"/>
        <family val="2"/>
      </rPr>
      <t xml:space="preserve">د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ك</t>
    </r>
    <r>
      <rPr>
        <sz val="12"/>
        <color rgb="FF000000"/>
        <rFont val="Calibri"/>
        <family val="0"/>
        <charset val="1"/>
      </rPr>
      <t xml:space="preserve">.</t>
    </r>
  </si>
  <si>
    <r>
      <rPr>
        <sz val="12"/>
        <color rgb="FF000000"/>
        <rFont val="Noto Sans Devanagari"/>
        <family val="2"/>
      </rPr>
      <t xml:space="preserve">شوكولاتة كادبوري ديري ميلك بايلي باكيت ٢٤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١٢ جم</t>
    </r>
  </si>
  <si>
    <r>
      <rPr>
        <sz val="12"/>
        <color rgb="FF000000"/>
        <rFont val="Noto Sans Devanagari"/>
        <family val="2"/>
      </rPr>
      <t xml:space="preserve">شوكولاتة كادبوري ديري ميلك باكت ٣٢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١٢ جم</t>
    </r>
  </si>
  <si>
    <t xml:space="preserve">شوكولاتة نستلة ايرو صغير ١٨ جم</t>
  </si>
  <si>
    <r>
      <rPr>
        <sz val="12"/>
        <color rgb="FF000000"/>
        <rFont val="Noto Sans Devanagari"/>
        <family val="2"/>
      </rPr>
      <t xml:space="preserve">شوكولاتة كندر ترونكي علب ١٨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٨ جم</t>
    </r>
  </si>
  <si>
    <r>
      <rPr>
        <sz val="12"/>
        <color rgb="FF000000"/>
        <rFont val="Noto Sans Devanagari"/>
        <family val="2"/>
      </rPr>
      <t xml:space="preserve">الاسم يذكر </t>
    </r>
    <r>
      <rPr>
        <sz val="12"/>
        <color rgb="FF000000"/>
        <rFont val="Calibri"/>
        <family val="0"/>
        <charset val="1"/>
      </rPr>
      <t xml:space="preserve">8 </t>
    </r>
    <r>
      <rPr>
        <sz val="12"/>
        <color rgb="FF000000"/>
        <rFont val="Noto Sans Devanagari"/>
        <family val="2"/>
      </rPr>
      <t xml:space="preserve">حبة بينما عمود الشد </t>
    </r>
    <r>
      <rPr>
        <sz val="12"/>
        <color rgb="FF000000"/>
        <rFont val="Calibri"/>
        <family val="0"/>
        <charset val="1"/>
      </rPr>
      <t xml:space="preserve">= 6. </t>
    </r>
    <r>
      <rPr>
        <sz val="12"/>
        <color rgb="FF000000"/>
        <rFont val="Noto Sans Devanagari"/>
        <family val="2"/>
      </rPr>
      <t xml:space="preserve">سعر الحبة في العمود محسوب على الشد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لو قُسم سعر الوحدة على </t>
    </r>
    <r>
      <rPr>
        <sz val="12"/>
        <color rgb="FF000000"/>
        <rFont val="Calibri"/>
        <family val="0"/>
        <charset val="1"/>
      </rPr>
      <t xml:space="preserve">8 </t>
    </r>
    <r>
      <rPr>
        <sz val="12"/>
        <color rgb="FF000000"/>
        <rFont val="Noto Sans Devanagari"/>
        <family val="2"/>
      </rPr>
      <t xml:space="preserve">يصبح </t>
    </r>
    <r>
      <rPr>
        <sz val="12"/>
        <color rgb="FF000000"/>
        <rFont val="Calibri"/>
        <family val="0"/>
        <charset val="1"/>
      </rPr>
      <t xml:space="preserve">0.8125 </t>
    </r>
    <r>
      <rPr>
        <sz val="12"/>
        <color rgb="FF000000"/>
        <rFont val="Noto Sans Devanagari"/>
        <family val="2"/>
      </rPr>
      <t xml:space="preserve">د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ك</t>
    </r>
    <r>
      <rPr>
        <sz val="12"/>
        <color rgb="FF000000"/>
        <rFont val="Calibri"/>
        <family val="0"/>
        <charset val="1"/>
      </rPr>
      <t xml:space="preserve">.</t>
    </r>
  </si>
  <si>
    <t xml:space="preserve">شوكولاتة توبليرون اصفر باكت ٢٤ حبة</t>
  </si>
  <si>
    <r>
      <rPr>
        <sz val="12"/>
        <color rgb="FF000000"/>
        <rFont val="Noto Sans Devanagari"/>
        <family val="2"/>
      </rPr>
      <t xml:space="preserve">شوكولاتة كندر ماكسي باكيت ٣٢</t>
    </r>
    <r>
      <rPr>
        <sz val="12"/>
        <color rgb="FF000000"/>
        <rFont val="Calibri"/>
        <family val="0"/>
        <charset val="1"/>
      </rPr>
      <t xml:space="preserve">+</t>
    </r>
    <r>
      <rPr>
        <sz val="12"/>
        <color rgb="FF000000"/>
        <rFont val="Noto Sans Devanagari"/>
        <family val="2"/>
      </rPr>
      <t xml:space="preserve">٤ حبة</t>
    </r>
  </si>
  <si>
    <t xml:space="preserve">شوكولاتة كادبوري ديري ميلك باللوز والزبيب شريط ٣٣٥ جرام</t>
  </si>
  <si>
    <t xml:space="preserve">شريط</t>
  </si>
  <si>
    <t xml:space="preserve">شوكولاتة كادبوري ديري ميلك بالبندق شريط ٣٣٥ جرام</t>
  </si>
  <si>
    <r>
      <rPr>
        <sz val="12"/>
        <color rgb="FF000000"/>
        <rFont val="Noto Sans Devanagari"/>
        <family val="2"/>
      </rPr>
      <t xml:space="preserve">شوكولاتة كادبوري فليك باكيت ٤٨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١٢ جم</t>
    </r>
  </si>
  <si>
    <t xml:space="preserve">بطاطا برينجلز صغير بطعم البابريكا ٤٠ جم</t>
  </si>
  <si>
    <t xml:space="preserve">بطاطا برينجلز صغير بطعم الاصلي ٤٠ جم</t>
  </si>
  <si>
    <r>
      <rPr>
        <sz val="12"/>
        <color rgb="FF000000"/>
        <rFont val="Noto Sans Devanagari"/>
        <family val="2"/>
      </rPr>
      <t xml:space="preserve">شوكولاتة كندر بيونو باكيت ٢٨</t>
    </r>
    <r>
      <rPr>
        <sz val="12"/>
        <color rgb="FF000000"/>
        <rFont val="Calibri"/>
        <family val="0"/>
        <charset val="1"/>
      </rPr>
      <t xml:space="preserve">+</t>
    </r>
    <r>
      <rPr>
        <sz val="12"/>
        <color rgb="FF000000"/>
        <rFont val="Noto Sans Devanagari"/>
        <family val="2"/>
      </rPr>
      <t xml:space="preserve">٢ حبة</t>
    </r>
  </si>
  <si>
    <t xml:space="preserve">شوكولاتة جالكسي مكسرات وفواكه ٣٠ جم</t>
  </si>
  <si>
    <r>
      <rPr>
        <sz val="12"/>
        <color rgb="FF000000"/>
        <rFont val="Noto Sans Devanagari"/>
        <family val="2"/>
      </rPr>
      <t xml:space="preserve">شوكولاتة سنيكرز باكيت ٢٤ حبة </t>
    </r>
    <r>
      <rPr>
        <sz val="12"/>
        <color rgb="FF000000"/>
        <rFont val="Calibri"/>
        <family val="0"/>
        <charset val="1"/>
      </rPr>
      <t xml:space="preserve">× </t>
    </r>
    <r>
      <rPr>
        <sz val="12"/>
        <color rgb="FF000000"/>
        <rFont val="Noto Sans Devanagari"/>
        <family val="2"/>
      </rPr>
      <t xml:space="preserve">٥٠ جرام</t>
    </r>
  </si>
  <si>
    <t xml:space="preserve">شوكولاتة جالكسي سادة بالحليب ٣٠ جم</t>
  </si>
  <si>
    <t xml:space="preserve">شوكولاتة جالكسي كراميل ٣٠ جم</t>
  </si>
  <si>
    <t xml:space="preserve">شوكولاتة باونتي باكيت ٥٧ جرام</t>
  </si>
  <si>
    <r>
      <rPr>
        <sz val="12"/>
        <color rgb="FF000000"/>
        <rFont val="Noto Sans Devanagari"/>
        <family val="2"/>
      </rPr>
      <t xml:space="preserve">شوكولاتة نستلة كيت كات ٤ اصابع ٣٦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٥ جم</t>
    </r>
  </si>
  <si>
    <t xml:space="preserve">شوكولاتة مالتزرز ٣٧ جم</t>
  </si>
  <si>
    <t xml:space="preserve">شوكولاتة كيت كات تشانكي كراميل ٤٢ جم</t>
  </si>
  <si>
    <r>
      <rPr>
        <sz val="12"/>
        <color rgb="FF000000"/>
        <rFont val="Noto Sans Devanagari"/>
        <family val="2"/>
      </rPr>
      <t xml:space="preserve">شوكولاتة نستلة كيت كات باكيت ٢٢</t>
    </r>
    <r>
      <rPr>
        <sz val="12"/>
        <color rgb="FF000000"/>
        <rFont val="Calibri"/>
        <family val="0"/>
        <charset val="1"/>
      </rPr>
      <t xml:space="preserve">+</t>
    </r>
    <r>
      <rPr>
        <sz val="12"/>
        <color rgb="FF000000"/>
        <rFont val="Noto Sans Devanagari"/>
        <family val="2"/>
      </rPr>
      <t xml:space="preserve">٨ مجانا </t>
    </r>
    <r>
      <rPr>
        <sz val="12"/>
        <color rgb="FF000000"/>
        <rFont val="Calibri"/>
        <family val="0"/>
        <charset val="1"/>
      </rPr>
      <t xml:space="preserve">(</t>
    </r>
    <r>
      <rPr>
        <sz val="12"/>
        <color rgb="FF000000"/>
        <rFont val="Noto Sans Devanagari"/>
        <family val="2"/>
      </rPr>
      <t xml:space="preserve">٥٣١ جم</t>
    </r>
    <r>
      <rPr>
        <sz val="12"/>
        <color rgb="FF000000"/>
        <rFont val="Calibri"/>
        <family val="0"/>
        <charset val="1"/>
      </rPr>
      <t xml:space="preserve">)</t>
    </r>
  </si>
  <si>
    <r>
      <rPr>
        <sz val="12"/>
        <color rgb="FF000000"/>
        <rFont val="Noto Sans Devanagari"/>
        <family val="2"/>
      </rPr>
      <t xml:space="preserve">شوكولاتة نستلة ميلكي بار باكيت ١٢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٣ جم</t>
    </r>
  </si>
  <si>
    <r>
      <rPr>
        <sz val="12"/>
        <color rgb="FF000000"/>
        <rFont val="Noto Sans Devanagari"/>
        <family val="2"/>
      </rPr>
      <t xml:space="preserve">شوكولاتة مارس شريط ٥٢</t>
    </r>
    <r>
      <rPr>
        <sz val="12"/>
        <color rgb="FF000000"/>
        <rFont val="Calibri"/>
        <family val="0"/>
        <charset val="1"/>
      </rPr>
      <t xml:space="preserve">×</t>
    </r>
    <r>
      <rPr>
        <sz val="12"/>
        <color rgb="FF000000"/>
        <rFont val="Noto Sans Devanagari"/>
        <family val="2"/>
      </rPr>
      <t xml:space="preserve">٢ جرام</t>
    </r>
  </si>
  <si>
    <t xml:space="preserve">ربطة</t>
  </si>
  <si>
    <t xml:space="preserve">شوكولاتة نستلة ايرو كبير باكت ٣٦ جم</t>
  </si>
  <si>
    <t xml:space="preserve">بطاطا سيجول بنكهة الطماطم كيس ٢٥ حبة</t>
  </si>
  <si>
    <t xml:space="preserve">كيس</t>
  </si>
  <si>
    <t xml:space="preserve">بطاطا عمان كيس ٢٥ حبة</t>
  </si>
  <si>
    <t xml:space="preserve">بفك سوبر رينج كبير كيس ١٠ حبة</t>
  </si>
  <si>
    <t xml:space="preserve">بفك سوبر رينج صغير كيس ٣٠ حبة</t>
  </si>
  <si>
    <t xml:space="preserve">بفك انا خليجي كيس ٣٥ حبة</t>
  </si>
  <si>
    <r>
      <rPr>
        <sz val="12"/>
        <color rgb="FF000000"/>
        <rFont val="Noto Sans Devanagari"/>
        <family val="2"/>
      </rPr>
      <t xml:space="preserve">الاسم يذكر </t>
    </r>
    <r>
      <rPr>
        <sz val="12"/>
        <color rgb="FF000000"/>
        <rFont val="Calibri"/>
        <family val="0"/>
        <charset val="1"/>
      </rPr>
      <t xml:space="preserve">35 </t>
    </r>
    <r>
      <rPr>
        <sz val="12"/>
        <color rgb="FF000000"/>
        <rFont val="Noto Sans Devanagari"/>
        <family val="2"/>
      </rPr>
      <t xml:space="preserve">حبة بينما عمود الشد </t>
    </r>
    <r>
      <rPr>
        <sz val="12"/>
        <color rgb="FF000000"/>
        <rFont val="Calibri"/>
        <family val="0"/>
        <charset val="1"/>
      </rPr>
      <t xml:space="preserve">= 1. </t>
    </r>
    <r>
      <rPr>
        <sz val="12"/>
        <color rgb="FF000000"/>
        <rFont val="Noto Sans Devanagari"/>
        <family val="2"/>
      </rPr>
      <t xml:space="preserve">سعر الحبة في العمود محسوب على الشد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لو قُسم سعر الوحدة على </t>
    </r>
    <r>
      <rPr>
        <sz val="12"/>
        <color rgb="FF000000"/>
        <rFont val="Calibri"/>
        <family val="0"/>
        <charset val="1"/>
      </rPr>
      <t xml:space="preserve">35 </t>
    </r>
    <r>
      <rPr>
        <sz val="12"/>
        <color rgb="FF000000"/>
        <rFont val="Noto Sans Devanagari"/>
        <family val="2"/>
      </rPr>
      <t xml:space="preserve">يصبح </t>
    </r>
    <r>
      <rPr>
        <sz val="12"/>
        <color rgb="FF000000"/>
        <rFont val="Calibri"/>
        <family val="0"/>
        <charset val="1"/>
      </rPr>
      <t xml:space="preserve">0.0786 </t>
    </r>
    <r>
      <rPr>
        <sz val="12"/>
        <color rgb="FF000000"/>
        <rFont val="Noto Sans Devanagari"/>
        <family val="2"/>
      </rPr>
      <t xml:space="preserve">د</t>
    </r>
    <r>
      <rPr>
        <sz val="12"/>
        <color rgb="FF000000"/>
        <rFont val="Calibri"/>
        <family val="0"/>
        <charset val="1"/>
      </rPr>
      <t xml:space="preserve">.</t>
    </r>
    <r>
      <rPr>
        <sz val="12"/>
        <color rgb="FF000000"/>
        <rFont val="Noto Sans Devanagari"/>
        <family val="2"/>
      </rPr>
      <t xml:space="preserve">ك</t>
    </r>
    <r>
      <rPr>
        <sz val="12"/>
        <color rgb="FF000000"/>
        <rFont val="Calibri"/>
        <family val="0"/>
        <charset val="1"/>
      </rPr>
      <t xml:space="preserve">.</t>
    </r>
  </si>
  <si>
    <t xml:space="preserve">بفك سوبر كورن بالجبن باكيت ١٢ حبة</t>
  </si>
  <si>
    <t xml:space="preserve">شوكولاتة عصار اولكر بالبندق باكت ٤٠ جم</t>
  </si>
  <si>
    <t xml:space="preserve">اولكر شوكو ويفر بكريمة البندق باكيت ١٢ حبة</t>
  </si>
  <si>
    <t xml:space="preserve">بسكويت رولوكات اولكر باكت ٢٤ حبة</t>
  </si>
  <si>
    <t xml:space="preserve">حليب كي دي دي باكت ٢٥٠ مل</t>
  </si>
  <si>
    <t xml:space="preserve">الإجمالي</t>
  </si>
  <si>
    <r>
      <rPr>
        <sz val="11"/>
        <color rgb="FF333333"/>
        <rFont val="Noto Sans Devanagari"/>
        <family val="2"/>
      </rPr>
      <t xml:space="preserve">تمت مطابقة مجموع الأسعار مع صافي الفاتورة </t>
    </r>
    <r>
      <rPr>
        <sz val="11"/>
        <color rgb="FF333333"/>
        <rFont val="Calibri"/>
        <family val="0"/>
        <charset val="1"/>
      </rPr>
      <t xml:space="preserve">331.500 </t>
    </r>
    <r>
      <rPr>
        <sz val="11"/>
        <color rgb="FF333333"/>
        <rFont val="Noto Sans Devanagari"/>
        <family val="2"/>
      </rPr>
      <t xml:space="preserve">د</t>
    </r>
    <r>
      <rPr>
        <sz val="11"/>
        <color rgb="FF333333"/>
        <rFont val="Calibri"/>
        <family val="0"/>
        <charset val="1"/>
      </rPr>
      <t xml:space="preserve">.</t>
    </r>
    <r>
      <rPr>
        <sz val="11"/>
        <color rgb="FF333333"/>
        <rFont val="Noto Sans Devanagari"/>
        <family val="2"/>
      </rPr>
      <t xml:space="preserve">ك، ومجموع عمود العدد مع </t>
    </r>
    <r>
      <rPr>
        <sz val="11"/>
        <color rgb="FF333333"/>
        <rFont val="Calibri"/>
        <family val="0"/>
        <charset val="1"/>
      </rPr>
      <t xml:space="preserve">141. </t>
    </r>
    <r>
      <rPr>
        <sz val="11"/>
        <color rgb="FF333333"/>
        <rFont val="Noto Sans Devanagari"/>
        <family val="2"/>
      </rPr>
      <t xml:space="preserve">الصفوف ذات الخلفية الوردية في عمود التنبيه فيها اختلاف بين عدد الحبات المكتوب في اسم الصنف وعمود الشد، والمبلغ المعتمد لسعر الحبة هو القسمة على عمود الشد</t>
    </r>
    <r>
      <rPr>
        <sz val="11"/>
        <color rgb="FF333333"/>
        <rFont val="Calibri"/>
        <family val="0"/>
        <charset val="1"/>
      </rPr>
      <t xml:space="preserve">.</t>
    </r>
  </si>
  <si>
    <t xml:space="preserve">دليل الألوان</t>
  </si>
  <si>
    <t xml:space="preserve">أصناف الباكيت والبرطمان فقط — مرتبة من أرخص حبة إلى أغلاها</t>
  </si>
  <si>
    <r>
      <rPr>
        <sz val="12"/>
        <color rgb="FF333333"/>
        <rFont val="Noto Sans Devanagari"/>
        <family val="2"/>
      </rPr>
      <t xml:space="preserve">سعر الحبة </t>
    </r>
    <r>
      <rPr>
        <sz val="12"/>
        <color rgb="FF333333"/>
        <rFont val="Calibri"/>
        <family val="0"/>
        <charset val="1"/>
      </rPr>
      <t xml:space="preserve">= </t>
    </r>
    <r>
      <rPr>
        <sz val="12"/>
        <color rgb="FF333333"/>
        <rFont val="Noto Sans Devanagari"/>
        <family val="2"/>
      </rPr>
      <t xml:space="preserve">سعر الباكيت أو البرطمان </t>
    </r>
    <r>
      <rPr>
        <sz val="12"/>
        <color rgb="FF333333"/>
        <rFont val="Calibri"/>
        <family val="0"/>
        <charset val="1"/>
      </rPr>
      <t xml:space="preserve">÷ </t>
    </r>
    <r>
      <rPr>
        <sz val="12"/>
        <color rgb="FF333333"/>
        <rFont val="Noto Sans Devanagari"/>
        <family val="2"/>
      </rPr>
      <t xml:space="preserve">عدد الشد</t>
    </r>
    <r>
      <rPr>
        <sz val="12"/>
        <color rgb="FF333333"/>
        <rFont val="Calibri"/>
        <family val="0"/>
        <charset val="1"/>
      </rPr>
      <t xml:space="preserve">. </t>
    </r>
    <r>
      <rPr>
        <sz val="12"/>
        <color rgb="FF333333"/>
        <rFont val="Noto Sans Devanagari"/>
        <family val="2"/>
      </rPr>
      <t xml:space="preserve">هذا هو سعر الحبة الواحدة داخل العبوة</t>
    </r>
    <r>
      <rPr>
        <sz val="12"/>
        <color rgb="FF333333"/>
        <rFont val="Calibri"/>
        <family val="0"/>
        <charset val="1"/>
      </rPr>
      <t xml:space="preserve">.</t>
    </r>
  </si>
  <si>
    <r>
      <rPr>
        <b val="true"/>
        <sz val="12"/>
        <color rgb="FF0D7377"/>
        <rFont val="Noto Sans Devanagari"/>
        <family val="2"/>
      </rPr>
      <t xml:space="preserve">عدد أصناف الباكيت</t>
    </r>
    <r>
      <rPr>
        <b val="true"/>
        <sz val="12"/>
        <color rgb="FF0D7377"/>
        <rFont val="Calibri"/>
        <family val="0"/>
        <charset val="1"/>
      </rPr>
      <t xml:space="preserve">: 60    |    </t>
    </r>
    <r>
      <rPr>
        <b val="true"/>
        <sz val="12"/>
        <color rgb="FF0D7377"/>
        <rFont val="Noto Sans Devanagari"/>
        <family val="2"/>
      </rPr>
      <t xml:space="preserve">عدد أصناف البرطمان</t>
    </r>
    <r>
      <rPr>
        <b val="true"/>
        <sz val="12"/>
        <color rgb="FF0D7377"/>
        <rFont val="Calibri"/>
        <family val="0"/>
        <charset val="1"/>
      </rPr>
      <t xml:space="preserve">: 2    |    </t>
    </r>
    <r>
      <rPr>
        <b val="true"/>
        <sz val="12"/>
        <color rgb="FF0D7377"/>
        <rFont val="Noto Sans Devanagari"/>
        <family val="2"/>
      </rPr>
      <t xml:space="preserve">الفاتورة </t>
    </r>
    <r>
      <rPr>
        <b val="true"/>
        <sz val="12"/>
        <color rgb="FF0D7377"/>
        <rFont val="Calibri"/>
        <family val="0"/>
        <charset val="1"/>
      </rPr>
      <t xml:space="preserve">26002232 </t>
    </r>
    <r>
      <rPr>
        <b val="true"/>
        <sz val="12"/>
        <color rgb="FF0D7377"/>
        <rFont val="Noto Sans Devanagari"/>
        <family val="2"/>
      </rPr>
      <t xml:space="preserve">بتاريخ </t>
    </r>
    <r>
      <rPr>
        <b val="true"/>
        <sz val="12"/>
        <color rgb="FF0D7377"/>
        <rFont val="Calibri"/>
        <family val="0"/>
        <charset val="1"/>
      </rPr>
      <t xml:space="preserve">03/10/2026</t>
    </r>
  </si>
  <si>
    <t xml:space="preserve">الشد</t>
  </si>
  <si>
    <r>
      <rPr>
        <b val="true"/>
        <sz val="11"/>
        <color rgb="FFFFFFFF"/>
        <rFont val="Noto Sans Devanagari"/>
        <family val="2"/>
      </rPr>
      <t xml:space="preserve">سعر العبوة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د</t>
    </r>
    <r>
      <rPr>
        <b val="true"/>
        <sz val="11"/>
        <color rgb="FFFFFFFF"/>
        <rFont val="Calibri"/>
        <family val="0"/>
        <charset val="1"/>
      </rPr>
      <t xml:space="preserve">.</t>
    </r>
    <r>
      <rPr>
        <b val="true"/>
        <sz val="11"/>
        <color rgb="FFFFFFFF"/>
        <rFont val="Noto Sans Devanagari"/>
        <family val="2"/>
      </rPr>
      <t xml:space="preserve">ك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</si>
  <si>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Devanagari"/>
        <family val="2"/>
      </rPr>
      <t xml:space="preserve">سعر الحبة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د</t>
    </r>
    <r>
      <rPr>
        <b val="true"/>
        <sz val="11"/>
        <color rgb="FFFFFFFF"/>
        <rFont val="Calibri"/>
        <family val="0"/>
        <charset val="1"/>
      </rPr>
      <t xml:space="preserve">.</t>
    </r>
    <r>
      <rPr>
        <b val="true"/>
        <sz val="11"/>
        <color rgb="FFFFFFFF"/>
        <rFont val="Noto Sans Devanagari"/>
        <family val="2"/>
      </rPr>
      <t xml:space="preserve">ك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</si>
  <si>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sz val="10"/>
        <color rgb="FF9C0006"/>
        <rFont val="Noto Sans Devanagari"/>
        <family val="2"/>
      </rPr>
      <t xml:space="preserve">الاسم يذكر </t>
    </r>
    <r>
      <rPr>
        <sz val="10"/>
        <color rgb="FF9C0006"/>
        <rFont val="Calibri"/>
        <family val="0"/>
        <charset val="1"/>
      </rPr>
      <t xml:space="preserve">25 </t>
    </r>
    <r>
      <rPr>
        <sz val="10"/>
        <color rgb="FF9C0006"/>
        <rFont val="Noto Sans Devanagari"/>
        <family val="2"/>
      </rPr>
      <t xml:space="preserve">حبة بينما عمود الشد </t>
    </r>
    <r>
      <rPr>
        <sz val="10"/>
        <color rgb="FF9C0006"/>
        <rFont val="Calibri"/>
        <family val="0"/>
        <charset val="1"/>
      </rPr>
      <t xml:space="preserve">= 5. </t>
    </r>
    <r>
      <rPr>
        <sz val="10"/>
        <color rgb="FF9C0006"/>
        <rFont val="Noto Sans Devanagari"/>
        <family val="2"/>
      </rPr>
      <t xml:space="preserve">سعر الحبة في العمود محسوب على الشد</t>
    </r>
    <r>
      <rPr>
        <sz val="10"/>
        <color rgb="FF9C0006"/>
        <rFont val="Calibri"/>
        <family val="0"/>
        <charset val="1"/>
      </rPr>
      <t xml:space="preserve">. </t>
    </r>
    <r>
      <rPr>
        <sz val="10"/>
        <color rgb="FF9C0006"/>
        <rFont val="Noto Sans Devanagari"/>
        <family val="2"/>
      </rPr>
      <t xml:space="preserve">لو قُسم سعر الوحدة على </t>
    </r>
    <r>
      <rPr>
        <sz val="10"/>
        <color rgb="FF9C0006"/>
        <rFont val="Calibri"/>
        <family val="0"/>
        <charset val="1"/>
      </rPr>
      <t xml:space="preserve">25 </t>
    </r>
    <r>
      <rPr>
        <sz val="10"/>
        <color rgb="FF9C0006"/>
        <rFont val="Noto Sans Devanagari"/>
        <family val="2"/>
      </rPr>
      <t xml:space="preserve">يصبح </t>
    </r>
    <r>
      <rPr>
        <sz val="10"/>
        <color rgb="FF9C0006"/>
        <rFont val="Calibri"/>
        <family val="0"/>
        <charset val="1"/>
      </rPr>
      <t xml:space="preserve">0.2100 </t>
    </r>
    <r>
      <rPr>
        <sz val="10"/>
        <color rgb="FF9C0006"/>
        <rFont val="Noto Sans Devanagari"/>
        <family val="2"/>
      </rPr>
      <t xml:space="preserve">د</t>
    </r>
    <r>
      <rPr>
        <sz val="10"/>
        <color rgb="FF9C0006"/>
        <rFont val="Calibri"/>
        <family val="0"/>
        <charset val="1"/>
      </rPr>
      <t xml:space="preserve">.</t>
    </r>
    <r>
      <rPr>
        <sz val="10"/>
        <color rgb="FF9C0006"/>
        <rFont val="Noto Sans Devanagari"/>
        <family val="2"/>
      </rPr>
      <t xml:space="preserve">ك</t>
    </r>
    <r>
      <rPr>
        <sz val="10"/>
        <color rgb="FF9C0006"/>
        <rFont val="Calibri"/>
        <family val="0"/>
        <charset val="1"/>
      </rPr>
      <t xml:space="preserve">.</t>
    </r>
  </si>
  <si>
    <r>
      <rPr>
        <sz val="10"/>
        <color rgb="FF9C0006"/>
        <rFont val="Noto Sans Devanagari"/>
        <family val="2"/>
      </rPr>
      <t xml:space="preserve">الاسم يذكر </t>
    </r>
    <r>
      <rPr>
        <sz val="10"/>
        <color rgb="FF9C0006"/>
        <rFont val="Calibri"/>
        <family val="0"/>
        <charset val="1"/>
      </rPr>
      <t xml:space="preserve">8 </t>
    </r>
    <r>
      <rPr>
        <sz val="10"/>
        <color rgb="FF9C0006"/>
        <rFont val="Noto Sans Devanagari"/>
        <family val="2"/>
      </rPr>
      <t xml:space="preserve">حبة بينما عمود الشد </t>
    </r>
    <r>
      <rPr>
        <sz val="10"/>
        <color rgb="FF9C0006"/>
        <rFont val="Calibri"/>
        <family val="0"/>
        <charset val="1"/>
      </rPr>
      <t xml:space="preserve">= 6. </t>
    </r>
    <r>
      <rPr>
        <sz val="10"/>
        <color rgb="FF9C0006"/>
        <rFont val="Noto Sans Devanagari"/>
        <family val="2"/>
      </rPr>
      <t xml:space="preserve">سعر الحبة في العمود محسوب على الشد</t>
    </r>
    <r>
      <rPr>
        <sz val="10"/>
        <color rgb="FF9C0006"/>
        <rFont val="Calibri"/>
        <family val="0"/>
        <charset val="1"/>
      </rPr>
      <t xml:space="preserve">. </t>
    </r>
    <r>
      <rPr>
        <sz val="10"/>
        <color rgb="FF9C0006"/>
        <rFont val="Noto Sans Devanagari"/>
        <family val="2"/>
      </rPr>
      <t xml:space="preserve">لو قُسم سعر الوحدة على </t>
    </r>
    <r>
      <rPr>
        <sz val="10"/>
        <color rgb="FF9C0006"/>
        <rFont val="Calibri"/>
        <family val="0"/>
        <charset val="1"/>
      </rPr>
      <t xml:space="preserve">8 </t>
    </r>
    <r>
      <rPr>
        <sz val="10"/>
        <color rgb="FF9C0006"/>
        <rFont val="Noto Sans Devanagari"/>
        <family val="2"/>
      </rPr>
      <t xml:space="preserve">يصبح </t>
    </r>
    <r>
      <rPr>
        <sz val="10"/>
        <color rgb="FF9C0006"/>
        <rFont val="Calibri"/>
        <family val="0"/>
        <charset val="1"/>
      </rPr>
      <t xml:space="preserve">0.8125 </t>
    </r>
    <r>
      <rPr>
        <sz val="10"/>
        <color rgb="FF9C0006"/>
        <rFont val="Noto Sans Devanagari"/>
        <family val="2"/>
      </rPr>
      <t xml:space="preserve">د</t>
    </r>
    <r>
      <rPr>
        <sz val="10"/>
        <color rgb="FF9C0006"/>
        <rFont val="Calibri"/>
        <family val="0"/>
        <charset val="1"/>
      </rPr>
      <t xml:space="preserve">.</t>
    </r>
    <r>
      <rPr>
        <sz val="10"/>
        <color rgb="FF9C0006"/>
        <rFont val="Noto Sans Devanagari"/>
        <family val="2"/>
      </rPr>
      <t xml:space="preserve">ك</t>
    </r>
    <r>
      <rPr>
        <sz val="10"/>
        <color rgb="FF9C0006"/>
        <rFont val="Calibri"/>
        <family val="0"/>
        <charset val="1"/>
      </rPr>
      <t xml:space="preserve">.</t>
    </r>
  </si>
  <si>
    <r>
      <rPr>
        <sz val="10"/>
        <color rgb="FF9C0006"/>
        <rFont val="Noto Sans Devanagari"/>
        <family val="2"/>
      </rPr>
      <t xml:space="preserve">الوزن في الاسم مكتوب ٤٥</t>
    </r>
    <r>
      <rPr>
        <sz val="10"/>
        <color rgb="FF9C0006"/>
        <rFont val="Calibri"/>
        <family val="0"/>
        <charset val="1"/>
      </rPr>
      <t xml:space="preserve">×</t>
    </r>
    <r>
      <rPr>
        <sz val="10"/>
        <color rgb="FF9C0006"/>
        <rFont val="Noto Sans Devanagari"/>
        <family val="2"/>
      </rPr>
      <t xml:space="preserve">٥ والشد في العمود </t>
    </r>
    <r>
      <rPr>
        <sz val="10"/>
        <color rgb="FF9C0006"/>
        <rFont val="Calibri"/>
        <family val="0"/>
        <charset val="1"/>
      </rPr>
      <t xml:space="preserve">= </t>
    </r>
    <r>
      <rPr>
        <sz val="10"/>
        <color rgb="FF9C0006"/>
        <rFont val="Noto Sans Devanagari"/>
        <family val="2"/>
      </rPr>
      <t xml:space="preserve">١، فسعر الحبة حسب العمود يساوي سعر الباكيت</t>
    </r>
    <r>
      <rPr>
        <sz val="10"/>
        <color rgb="FF9C0006"/>
        <rFont val="Calibri"/>
        <family val="0"/>
        <charset val="1"/>
      </rPr>
      <t xml:space="preserve">.</t>
    </r>
  </si>
  <si>
    <r>
      <rPr>
        <sz val="10"/>
        <color rgb="FF9C0006"/>
        <rFont val="Noto Sans Devanagari"/>
        <family val="2"/>
      </rPr>
      <t xml:space="preserve">الاسم يذكر </t>
    </r>
    <r>
      <rPr>
        <sz val="10"/>
        <color rgb="FF9C0006"/>
        <rFont val="Calibri"/>
        <family val="0"/>
        <charset val="1"/>
      </rPr>
      <t xml:space="preserve">16 </t>
    </r>
    <r>
      <rPr>
        <sz val="10"/>
        <color rgb="FF9C0006"/>
        <rFont val="Noto Sans Devanagari"/>
        <family val="2"/>
      </rPr>
      <t xml:space="preserve">حبة بينما عمود الشد </t>
    </r>
    <r>
      <rPr>
        <sz val="10"/>
        <color rgb="FF9C0006"/>
        <rFont val="Calibri"/>
        <family val="0"/>
        <charset val="1"/>
      </rPr>
      <t xml:space="preserve">= 2. </t>
    </r>
    <r>
      <rPr>
        <sz val="10"/>
        <color rgb="FF9C0006"/>
        <rFont val="Noto Sans Devanagari"/>
        <family val="2"/>
      </rPr>
      <t xml:space="preserve">سعر الحبة في العمود محسوب على الشد</t>
    </r>
    <r>
      <rPr>
        <sz val="10"/>
        <color rgb="FF9C0006"/>
        <rFont val="Calibri"/>
        <family val="0"/>
        <charset val="1"/>
      </rPr>
      <t xml:space="preserve">. </t>
    </r>
    <r>
      <rPr>
        <sz val="10"/>
        <color rgb="FF9C0006"/>
        <rFont val="Noto Sans Devanagari"/>
        <family val="2"/>
      </rPr>
      <t xml:space="preserve">لو قُسم سعر الوحدة على </t>
    </r>
    <r>
      <rPr>
        <sz val="10"/>
        <color rgb="FF9C0006"/>
        <rFont val="Calibri"/>
        <family val="0"/>
        <charset val="1"/>
      </rPr>
      <t xml:space="preserve">16 </t>
    </r>
    <r>
      <rPr>
        <sz val="10"/>
        <color rgb="FF9C0006"/>
        <rFont val="Noto Sans Devanagari"/>
        <family val="2"/>
      </rPr>
      <t xml:space="preserve">يصبح </t>
    </r>
    <r>
      <rPr>
        <sz val="10"/>
        <color rgb="FF9C0006"/>
        <rFont val="Calibri"/>
        <family val="0"/>
        <charset val="1"/>
      </rPr>
      <t xml:space="preserve">0.2406 </t>
    </r>
    <r>
      <rPr>
        <sz val="10"/>
        <color rgb="FF9C0006"/>
        <rFont val="Noto Sans Devanagari"/>
        <family val="2"/>
      </rPr>
      <t xml:space="preserve">د</t>
    </r>
    <r>
      <rPr>
        <sz val="10"/>
        <color rgb="FF9C0006"/>
        <rFont val="Calibri"/>
        <family val="0"/>
        <charset val="1"/>
      </rPr>
      <t xml:space="preserve">.</t>
    </r>
    <r>
      <rPr>
        <sz val="10"/>
        <color rgb="FF9C0006"/>
        <rFont val="Noto Sans Devanagari"/>
        <family val="2"/>
      </rPr>
      <t xml:space="preserve">ك</t>
    </r>
    <r>
      <rPr>
        <sz val="10"/>
        <color rgb="FF9C0006"/>
        <rFont val="Calibri"/>
        <family val="0"/>
        <charset val="1"/>
      </rPr>
      <t xml:space="preserve">.</t>
    </r>
  </si>
  <si>
    <r>
      <rPr>
        <b val="true"/>
        <sz val="18"/>
        <color rgb="FFFFFFFF"/>
        <rFont val="Noto Sans Devanagari"/>
        <family val="2"/>
      </rPr>
      <t xml:space="preserve">ملخص فاتورة عالم الحلويات رقم </t>
    </r>
    <r>
      <rPr>
        <b val="true"/>
        <sz val="18"/>
        <color rgb="FFFFFFFF"/>
        <rFont val="Calibri"/>
        <family val="0"/>
        <charset val="1"/>
      </rPr>
      <t xml:space="preserve">26002232</t>
    </r>
  </si>
  <si>
    <t xml:space="preserve">بيانات الفاتورة</t>
  </si>
  <si>
    <t xml:space="preserve">العميل</t>
  </si>
  <si>
    <t xml:space="preserve">شركة بقالة بيغ ياغ</t>
  </si>
  <si>
    <t xml:space="preserve">رقم الحساب</t>
  </si>
  <si>
    <t xml:space="preserve">1815</t>
  </si>
  <si>
    <t xml:space="preserve">رقم الفاتورة</t>
  </si>
  <si>
    <t xml:space="preserve">26002232</t>
  </si>
  <si>
    <t xml:space="preserve">التاريخ</t>
  </si>
  <si>
    <t xml:space="preserve">03/10/2026</t>
  </si>
  <si>
    <t xml:space="preserve">البائع</t>
  </si>
  <si>
    <t xml:space="preserve">gus</t>
  </si>
  <si>
    <t xml:space="preserve">عدد الأصناف</t>
  </si>
  <si>
    <t xml:space="preserve">86</t>
  </si>
  <si>
    <t xml:space="preserve">إجمالي عمود العدد</t>
  </si>
  <si>
    <t xml:space="preserve">141</t>
  </si>
  <si>
    <r>
      <rPr>
        <b val="true"/>
        <sz val="12"/>
        <color rgb="FF1F4E79"/>
        <rFont val="Noto Sans Devanagari"/>
        <family val="2"/>
      </rPr>
      <t xml:space="preserve">صافي الفاتورة </t>
    </r>
    <r>
      <rPr>
        <b val="true"/>
        <sz val="12"/>
        <color rgb="FF1F4E79"/>
        <rFont val="Calibri"/>
        <family val="0"/>
        <charset val="1"/>
      </rPr>
      <t xml:space="preserve">(</t>
    </r>
    <r>
      <rPr>
        <b val="true"/>
        <sz val="12"/>
        <color rgb="FF1F4E79"/>
        <rFont val="Noto Sans Devanagari"/>
        <family val="2"/>
      </rPr>
      <t xml:space="preserve">د</t>
    </r>
    <r>
      <rPr>
        <b val="true"/>
        <sz val="12"/>
        <color rgb="FF1F4E79"/>
        <rFont val="Calibri"/>
        <family val="0"/>
        <charset val="1"/>
      </rPr>
      <t xml:space="preserve">.</t>
    </r>
    <r>
      <rPr>
        <b val="true"/>
        <sz val="12"/>
        <color rgb="FF1F4E79"/>
        <rFont val="Noto Sans Devanagari"/>
        <family val="2"/>
      </rPr>
      <t xml:space="preserve">ك</t>
    </r>
    <r>
      <rPr>
        <b val="true"/>
        <sz val="12"/>
        <color rgb="FF1F4E79"/>
        <rFont val="Calibri"/>
        <family val="0"/>
        <charset val="1"/>
      </rPr>
      <t xml:space="preserve">)</t>
    </r>
  </si>
  <si>
    <t xml:space="preserve">331.500</t>
  </si>
  <si>
    <t xml:space="preserve">مجموع العدد</t>
  </si>
  <si>
    <r>
      <rPr>
        <b val="true"/>
        <sz val="12"/>
        <color rgb="FFFFFFFF"/>
        <rFont val="Noto Sans Devanagari"/>
        <family val="2"/>
      </rPr>
      <t xml:space="preserve">مجموع الإجمالي </t>
    </r>
    <r>
      <rPr>
        <b val="true"/>
        <sz val="12"/>
        <color rgb="FFFFFFFF"/>
        <rFont val="Calibri"/>
        <family val="0"/>
        <charset val="1"/>
      </rPr>
      <t xml:space="preserve">(</t>
    </r>
    <r>
      <rPr>
        <b val="true"/>
        <sz val="12"/>
        <color rgb="FFFFFFFF"/>
        <rFont val="Noto Sans Devanagari"/>
        <family val="2"/>
      </rPr>
      <t xml:space="preserve">د</t>
    </r>
    <r>
      <rPr>
        <b val="true"/>
        <sz val="12"/>
        <color rgb="FFFFFFFF"/>
        <rFont val="Calibri"/>
        <family val="0"/>
        <charset val="1"/>
      </rPr>
      <t xml:space="preserve">.</t>
    </r>
    <r>
      <rPr>
        <b val="true"/>
        <sz val="12"/>
        <color rgb="FFFFFFFF"/>
        <rFont val="Noto Sans Devanagari"/>
        <family val="2"/>
      </rPr>
      <t xml:space="preserve">ك</t>
    </r>
    <r>
      <rPr>
        <b val="true"/>
        <sz val="12"/>
        <color rgb="FFFFFFFF"/>
        <rFont val="Calibri"/>
        <family val="0"/>
        <charset val="1"/>
      </rPr>
      <t xml:space="preserve">)</t>
    </r>
  </si>
  <si>
    <t xml:space="preserve">أقل سعر حبة</t>
  </si>
  <si>
    <t xml:space="preserve">أعلى سعر حبة</t>
  </si>
  <si>
    <t xml:space="preserve">المجموع</t>
  </si>
  <si>
    <r>
      <rPr>
        <sz val="12"/>
        <color rgb="FF333333"/>
        <rFont val="Noto Sans Devanagari"/>
        <family val="2"/>
      </rPr>
      <t xml:space="preserve">سعر الحبة داخل أي عبوة </t>
    </r>
    <r>
      <rPr>
        <sz val="12"/>
        <color rgb="FF333333"/>
        <rFont val="Calibri"/>
        <family val="0"/>
        <charset val="1"/>
      </rPr>
      <t xml:space="preserve">= </t>
    </r>
    <r>
      <rPr>
        <sz val="12"/>
        <color rgb="FF333333"/>
        <rFont val="Noto Sans Devanagari"/>
        <family val="2"/>
      </rPr>
      <t xml:space="preserve">سعر الوحدة </t>
    </r>
    <r>
      <rPr>
        <sz val="12"/>
        <color rgb="FF333333"/>
        <rFont val="Calibri"/>
        <family val="0"/>
        <charset val="1"/>
      </rPr>
      <t xml:space="preserve">÷ </t>
    </r>
    <r>
      <rPr>
        <sz val="12"/>
        <color rgb="FF333333"/>
        <rFont val="Noto Sans Devanagari"/>
        <family val="2"/>
      </rPr>
      <t xml:space="preserve">الشد</t>
    </r>
    <r>
      <rPr>
        <sz val="12"/>
        <color rgb="FF333333"/>
        <rFont val="Calibri"/>
        <family val="0"/>
        <charset val="1"/>
      </rPr>
      <t xml:space="preserve">. </t>
    </r>
    <r>
      <rPr>
        <sz val="12"/>
        <color rgb="FF333333"/>
        <rFont val="Noto Sans Devanagari"/>
        <family val="2"/>
      </rPr>
      <t xml:space="preserve">مثال</t>
    </r>
    <r>
      <rPr>
        <sz val="12"/>
        <color rgb="FF333333"/>
        <rFont val="Calibri"/>
        <family val="0"/>
        <charset val="1"/>
      </rPr>
      <t xml:space="preserve">: </t>
    </r>
    <r>
      <rPr>
        <sz val="12"/>
        <color rgb="FF333333"/>
        <rFont val="Noto Sans Devanagari"/>
        <family val="2"/>
      </rPr>
      <t xml:space="preserve">مصاص البرطمان سعره </t>
    </r>
    <r>
      <rPr>
        <sz val="12"/>
        <color rgb="FF333333"/>
        <rFont val="Calibri"/>
        <family val="0"/>
        <charset val="1"/>
      </rPr>
      <t xml:space="preserve">1.400 </t>
    </r>
    <r>
      <rPr>
        <sz val="12"/>
        <color rgb="FF333333"/>
        <rFont val="Noto Sans Devanagari"/>
        <family val="2"/>
      </rPr>
      <t xml:space="preserve">والشد </t>
    </r>
    <r>
      <rPr>
        <sz val="12"/>
        <color rgb="FF333333"/>
        <rFont val="Calibri"/>
        <family val="0"/>
        <charset val="1"/>
      </rPr>
      <t xml:space="preserve">40</t>
    </r>
    <r>
      <rPr>
        <sz val="12"/>
        <color rgb="FF333333"/>
        <rFont val="Noto Sans Devanagari"/>
        <family val="2"/>
      </rPr>
      <t xml:space="preserve">، فسعر الحبة </t>
    </r>
    <r>
      <rPr>
        <sz val="12"/>
        <color rgb="FF333333"/>
        <rFont val="Calibri"/>
        <family val="0"/>
        <charset val="1"/>
      </rPr>
      <t xml:space="preserve">0.0350 </t>
    </r>
    <r>
      <rPr>
        <sz val="12"/>
        <color rgb="FF333333"/>
        <rFont val="Noto Sans Devanagari"/>
        <family val="2"/>
      </rPr>
      <t xml:space="preserve">د</t>
    </r>
    <r>
      <rPr>
        <sz val="12"/>
        <color rgb="FF333333"/>
        <rFont val="Calibri"/>
        <family val="0"/>
        <charset val="1"/>
      </rPr>
      <t xml:space="preserve">.</t>
    </r>
    <r>
      <rPr>
        <sz val="12"/>
        <color rgb="FF333333"/>
        <rFont val="Noto Sans Devanagari"/>
        <family val="2"/>
      </rPr>
      <t xml:space="preserve">ك</t>
    </r>
    <r>
      <rPr>
        <sz val="12"/>
        <color rgb="FF333333"/>
        <rFont val="Calibri"/>
        <family val="0"/>
        <charset val="1"/>
      </rPr>
      <t xml:space="preserve">.</t>
    </r>
  </si>
  <si>
    <r>
      <rPr>
        <sz val="12"/>
        <color rgb="FF9C0006"/>
        <rFont val="Noto Sans Devanagari"/>
        <family val="2"/>
      </rPr>
      <t xml:space="preserve">خمسة أصناف يختلف فيها عدد الحبات المكتوب في الاسم عن عمود الشد، وهي موضحة في عمود التنبيه</t>
    </r>
    <r>
      <rPr>
        <sz val="12"/>
        <color rgb="FF9C0006"/>
        <rFont val="Calibri"/>
        <family val="0"/>
        <charset val="1"/>
      </rPr>
      <t xml:space="preserve">: </t>
    </r>
    <r>
      <rPr>
        <sz val="12"/>
        <color rgb="FF9C0006"/>
        <rFont val="Noto Sans Devanagari"/>
        <family val="2"/>
      </rPr>
      <t xml:space="preserve">الصنف </t>
    </r>
    <r>
      <rPr>
        <sz val="12"/>
        <color rgb="FF9C0006"/>
        <rFont val="Calibri"/>
        <family val="0"/>
        <charset val="1"/>
      </rPr>
      <t xml:space="preserve">16 (</t>
    </r>
    <r>
      <rPr>
        <sz val="12"/>
        <color rgb="FF9C0006"/>
        <rFont val="Noto Sans Devanagari"/>
        <family val="2"/>
      </rPr>
      <t xml:space="preserve">علبة كريسماس</t>
    </r>
    <r>
      <rPr>
        <sz val="12"/>
        <color rgb="FF9C0006"/>
        <rFont val="Calibri"/>
        <family val="0"/>
        <charset val="1"/>
      </rPr>
      <t xml:space="preserve">)</t>
    </r>
    <r>
      <rPr>
        <sz val="12"/>
        <color rgb="FF9C0006"/>
        <rFont val="Noto Sans Devanagari"/>
        <family val="2"/>
      </rPr>
      <t xml:space="preserve">، </t>
    </r>
    <r>
      <rPr>
        <sz val="12"/>
        <color rgb="FF9C0006"/>
        <rFont val="Calibri"/>
        <family val="0"/>
        <charset val="1"/>
      </rPr>
      <t xml:space="preserve">45 (</t>
    </r>
    <r>
      <rPr>
        <sz val="12"/>
        <color rgb="FF9C0006"/>
        <rFont val="Noto Sans Devanagari"/>
        <family val="2"/>
      </rPr>
      <t xml:space="preserve">لواكر ازرق</t>
    </r>
    <r>
      <rPr>
        <sz val="12"/>
        <color rgb="FF9C0006"/>
        <rFont val="Calibri"/>
        <family val="0"/>
        <charset val="1"/>
      </rPr>
      <t xml:space="preserve">)</t>
    </r>
    <r>
      <rPr>
        <sz val="12"/>
        <color rgb="FF9C0006"/>
        <rFont val="Noto Sans Devanagari"/>
        <family val="2"/>
      </rPr>
      <t xml:space="preserve">، </t>
    </r>
    <r>
      <rPr>
        <sz val="12"/>
        <color rgb="FF9C0006"/>
        <rFont val="Calibri"/>
        <family val="0"/>
        <charset val="1"/>
      </rPr>
      <t xml:space="preserve">52 (</t>
    </r>
    <r>
      <rPr>
        <sz val="12"/>
        <color rgb="FF9C0006"/>
        <rFont val="Noto Sans Devanagari"/>
        <family val="2"/>
      </rPr>
      <t xml:space="preserve">رافايلو</t>
    </r>
    <r>
      <rPr>
        <sz val="12"/>
        <color rgb="FF9C0006"/>
        <rFont val="Calibri"/>
        <family val="0"/>
        <charset val="1"/>
      </rPr>
      <t xml:space="preserve">)</t>
    </r>
    <r>
      <rPr>
        <sz val="12"/>
        <color rgb="FF9C0006"/>
        <rFont val="Noto Sans Devanagari"/>
        <family val="2"/>
      </rPr>
      <t xml:space="preserve">، </t>
    </r>
    <r>
      <rPr>
        <sz val="12"/>
        <color rgb="FF9C0006"/>
        <rFont val="Calibri"/>
        <family val="0"/>
        <charset val="1"/>
      </rPr>
      <t xml:space="preserve">56 (</t>
    </r>
    <r>
      <rPr>
        <sz val="12"/>
        <color rgb="FF9C0006"/>
        <rFont val="Noto Sans Devanagari"/>
        <family val="2"/>
      </rPr>
      <t xml:space="preserve">كندر ترونكي</t>
    </r>
    <r>
      <rPr>
        <sz val="12"/>
        <color rgb="FF9C0006"/>
        <rFont val="Calibri"/>
        <family val="0"/>
        <charset val="1"/>
      </rPr>
      <t xml:space="preserve">)</t>
    </r>
    <r>
      <rPr>
        <sz val="12"/>
        <color rgb="FF9C0006"/>
        <rFont val="Noto Sans Devanagari"/>
        <family val="2"/>
      </rPr>
      <t xml:space="preserve">، </t>
    </r>
    <r>
      <rPr>
        <sz val="12"/>
        <color rgb="FF9C0006"/>
        <rFont val="Calibri"/>
        <family val="0"/>
        <charset val="1"/>
      </rPr>
      <t xml:space="preserve">81 (</t>
    </r>
    <r>
      <rPr>
        <sz val="12"/>
        <color rgb="FF9C0006"/>
        <rFont val="Noto Sans Devanagari"/>
        <family val="2"/>
      </rPr>
      <t xml:space="preserve">بفك انا خليجي</t>
    </r>
    <r>
      <rPr>
        <sz val="12"/>
        <color rgb="FF9C0006"/>
        <rFont val="Calibri"/>
        <family val="0"/>
        <charset val="1"/>
      </rPr>
      <t xml:space="preserve">). </t>
    </r>
    <r>
      <rPr>
        <sz val="12"/>
        <color rgb="FF9C0006"/>
        <rFont val="Noto Sans Devanagari"/>
        <family val="2"/>
      </rPr>
      <t xml:space="preserve">سعر الحبة المعتمد محسوب على عمود الشد كما هو مطبوع في الفاتورة</t>
    </r>
    <r>
      <rPr>
        <sz val="12"/>
        <color rgb="FF9C0006"/>
        <rFont val="Calibri"/>
        <family val="0"/>
        <charset val="1"/>
      </rPr>
      <t xml:space="preserve">.</t>
    </r>
  </si>
  <si>
    <t xml:space="preserve">أصناف يحتاج رقم الشد فيها مراجعة — الاسم يذكر عدداً غير عمود الشد</t>
  </si>
  <si>
    <r>
      <rPr>
        <sz val="12"/>
        <color rgb="FF000000"/>
        <rFont val="Noto Sans Devanagari"/>
        <family val="2"/>
      </rPr>
      <t xml:space="preserve">سعر الحبة المعتمد في بقية الأوراق محسوب على عمود الشد المطبوع</t>
    </r>
    <r>
      <rPr>
        <sz val="12"/>
        <color rgb="FF000000"/>
        <rFont val="Calibri"/>
        <family val="0"/>
        <charset val="1"/>
      </rPr>
      <t xml:space="preserve">. </t>
    </r>
    <r>
      <rPr>
        <sz val="12"/>
        <color rgb="FF000000"/>
        <rFont val="Noto Sans Devanagari"/>
        <family val="2"/>
      </rPr>
      <t xml:space="preserve">هذا الجدول يعرض السعر البديل لو اعتُمد العدد المكتوب في اسم الصنف</t>
    </r>
    <r>
      <rPr>
        <sz val="12"/>
        <color rgb="FF000000"/>
        <rFont val="Calibri"/>
        <family val="0"/>
        <charset val="1"/>
      </rPr>
      <t xml:space="preserve">.</t>
    </r>
  </si>
  <si>
    <t xml:space="preserve">رقم</t>
  </si>
  <si>
    <t xml:space="preserve">الشد في الفاتورة</t>
  </si>
  <si>
    <t xml:space="preserve">العدد في الاسم</t>
  </si>
  <si>
    <t xml:space="preserve">سعر الوحدة</t>
  </si>
  <si>
    <t xml:space="preserve">سعر الحبة حسب الشد</t>
  </si>
  <si>
    <t xml:space="preserve">سعر الحبة حسب الاسم</t>
  </si>
  <si>
    <r>
      <rPr>
        <sz val="12"/>
        <color rgb="FF333333"/>
        <rFont val="Noto Sans Devanagari"/>
        <family val="2"/>
      </rPr>
      <t xml:space="preserve">مثال</t>
    </r>
    <r>
      <rPr>
        <sz val="12"/>
        <color rgb="FF333333"/>
        <rFont val="Calibri"/>
        <family val="0"/>
        <charset val="1"/>
      </rPr>
      <t xml:space="preserve">: </t>
    </r>
    <r>
      <rPr>
        <sz val="12"/>
        <color rgb="FF333333"/>
        <rFont val="Noto Sans Devanagari"/>
        <family val="2"/>
      </rPr>
      <t xml:space="preserve">رافايلو </t>
    </r>
    <r>
      <rPr>
        <sz val="12"/>
        <color rgb="FF333333"/>
        <rFont val="Calibri"/>
        <family val="0"/>
        <charset val="1"/>
      </rPr>
      <t xml:space="preserve">(</t>
    </r>
    <r>
      <rPr>
        <sz val="12"/>
        <color rgb="FF333333"/>
        <rFont val="Noto Sans Devanagari"/>
        <family val="2"/>
      </rPr>
      <t xml:space="preserve">صنف </t>
    </r>
    <r>
      <rPr>
        <sz val="12"/>
        <color rgb="FF333333"/>
        <rFont val="Calibri"/>
        <family val="0"/>
        <charset val="1"/>
      </rPr>
      <t xml:space="preserve">52) </t>
    </r>
    <r>
      <rPr>
        <sz val="12"/>
        <color rgb="FF333333"/>
        <rFont val="Noto Sans Devanagari"/>
        <family val="2"/>
      </rPr>
      <t xml:space="preserve">سعر الباكيت </t>
    </r>
    <r>
      <rPr>
        <sz val="12"/>
        <color rgb="FF333333"/>
        <rFont val="Calibri"/>
        <family val="0"/>
        <charset val="1"/>
      </rPr>
      <t xml:space="preserve">3.850. </t>
    </r>
    <r>
      <rPr>
        <sz val="12"/>
        <color rgb="FF333333"/>
        <rFont val="Noto Sans Devanagari"/>
        <family val="2"/>
      </rPr>
      <t xml:space="preserve">حسب الشد </t>
    </r>
    <r>
      <rPr>
        <sz val="12"/>
        <color rgb="FF333333"/>
        <rFont val="Calibri"/>
        <family val="0"/>
        <charset val="1"/>
      </rPr>
      <t xml:space="preserve">2 </t>
    </r>
    <r>
      <rPr>
        <sz val="12"/>
        <color rgb="FF333333"/>
        <rFont val="Noto Sans Devanagari"/>
        <family val="2"/>
      </rPr>
      <t xml:space="preserve">تصبح الحبة </t>
    </r>
    <r>
      <rPr>
        <sz val="12"/>
        <color rgb="FF333333"/>
        <rFont val="Calibri"/>
        <family val="0"/>
        <charset val="1"/>
      </rPr>
      <t xml:space="preserve">1.9250</t>
    </r>
    <r>
      <rPr>
        <sz val="12"/>
        <color rgb="FF333333"/>
        <rFont val="Noto Sans Devanagari"/>
        <family val="2"/>
      </rPr>
      <t xml:space="preserve">، وحسب الـ </t>
    </r>
    <r>
      <rPr>
        <sz val="12"/>
        <color rgb="FF333333"/>
        <rFont val="Calibri"/>
        <family val="0"/>
        <charset val="1"/>
      </rPr>
      <t xml:space="preserve">16 </t>
    </r>
    <r>
      <rPr>
        <sz val="12"/>
        <color rgb="FF333333"/>
        <rFont val="Noto Sans Devanagari"/>
        <family val="2"/>
      </rPr>
      <t xml:space="preserve">حبة المكتوبة في الاسم تصبح الحبة </t>
    </r>
    <r>
      <rPr>
        <sz val="12"/>
        <color rgb="FF333333"/>
        <rFont val="Calibri"/>
        <family val="0"/>
        <charset val="1"/>
      </rPr>
      <t xml:space="preserve">0.2406.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</si>
</sst>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"/>
    <numFmt numFmtId="168" formatCode="#,##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Noto Sans Devanagari"/>
      <family val="2"/>
    </font>
    <font>
      <b val="true"/>
      <sz val="14"/>
      <color rgb="FFFFFFFF"/>
      <name val="Noto Sans Devanagari"/>
      <family val="2"/>
    </font>
    <font>
      <b val="true"/>
      <sz val="14"/>
      <color rgb="FFFFFFFF"/>
      <name val="Calibri"/>
      <family val="0"/>
      <charset val="1"/>
    </font>
    <font>
      <b val="true"/>
      <sz val="12"/>
      <color rgb="FF1F4E79"/>
      <name val="Noto Sans Devanagari"/>
      <family val="2"/>
    </font>
    <font>
      <b val="true"/>
      <sz val="12"/>
      <color rgb="FF1F4E79"/>
      <name val="Calibri"/>
      <family val="0"/>
      <charset val="1"/>
    </font>
    <font>
      <sz val="11"/>
      <color rgb="FF333333"/>
      <name val="Noto Sans Devanagari"/>
      <family val="2"/>
    </font>
    <font>
      <sz val="11"/>
      <color rgb="FF333333"/>
      <name val="Calibri"/>
      <family val="0"/>
      <charset val="1"/>
    </font>
    <font>
      <b val="true"/>
      <sz val="11"/>
      <color rgb="FFFFFFFF"/>
      <name val="Noto Sans Devanagari"/>
      <family val="2"/>
    </font>
    <font>
      <b val="true"/>
      <sz val="11"/>
      <color rgb="FFFFFFFF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Noto Sans Devanagari"/>
      <family val="2"/>
    </font>
    <font>
      <b val="true"/>
      <sz val="12"/>
      <color rgb="FF7F6000"/>
      <name val="Calibri"/>
      <family val="0"/>
      <charset val="1"/>
    </font>
    <font>
      <b val="true"/>
      <sz val="12"/>
      <color rgb="FFFFFFFF"/>
      <name val="Noto Sans Devanagari"/>
      <family val="2"/>
    </font>
    <font>
      <b val="true"/>
      <sz val="13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00000"/>
      <name val="Noto Sans Devanagari"/>
      <family val="2"/>
    </font>
    <font>
      <b val="true"/>
      <sz val="18"/>
      <color rgb="FFFFFFFF"/>
      <name val="Noto Sans Devanagari"/>
      <family val="2"/>
    </font>
    <font>
      <sz val="12"/>
      <color rgb="FF333333"/>
      <name val="Noto Sans Devanagari"/>
      <family val="2"/>
    </font>
    <font>
      <sz val="12"/>
      <color rgb="FF333333"/>
      <name val="Calibri"/>
      <family val="0"/>
      <charset val="1"/>
    </font>
    <font>
      <b val="true"/>
      <sz val="12"/>
      <color rgb="FF0D7377"/>
      <name val="Noto Sans Devanagari"/>
      <family val="2"/>
    </font>
    <font>
      <b val="true"/>
      <sz val="12"/>
      <color rgb="FF0D7377"/>
      <name val="Calibri"/>
      <family val="0"/>
      <charset val="1"/>
    </font>
    <font>
      <b val="true"/>
      <sz val="13"/>
      <color rgb="FF7F6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9C0006"/>
      <name val="Noto Sans Devanagari"/>
      <family val="2"/>
    </font>
    <font>
      <sz val="10"/>
      <color rgb="FF9C0006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3"/>
      <color rgb="FFFFFFFF"/>
      <name val="Noto Sans Devanagari"/>
      <family val="2"/>
    </font>
    <font>
      <b val="true"/>
      <sz val="12"/>
      <color rgb="FF000000"/>
      <name val="Noto Sans Devanagari"/>
      <family val="2"/>
    </font>
    <font>
      <b val="true"/>
      <sz val="12"/>
      <color rgb="FF000000"/>
      <name val="Calibri"/>
      <family val="0"/>
      <charset val="1"/>
    </font>
    <font>
      <sz val="12"/>
      <color rgb="FF9C0006"/>
      <name val="Noto Sans Devanagari"/>
      <family val="2"/>
    </font>
    <font>
      <sz val="12"/>
      <color rgb="FF9C0006"/>
      <name val="Calibri"/>
      <family val="0"/>
      <charset val="1"/>
    </font>
    <font>
      <b val="true"/>
      <sz val="16"/>
      <color rgb="FFFFFFFF"/>
      <name val="Noto Sans Devanaga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7F0F8"/>
        <bgColor rgb="FFE6F4F1"/>
      </patternFill>
    </fill>
    <fill>
      <patternFill patternType="solid">
        <fgColor rgb="FFFFF8E1"/>
        <bgColor rgb="FFFFF2CC"/>
      </patternFill>
    </fill>
    <fill>
      <patternFill patternType="solid">
        <fgColor rgb="FFBF8F00"/>
        <bgColor rgb="FFFF6600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DE9D9"/>
      </patternFill>
    </fill>
    <fill>
      <patternFill patternType="solid">
        <fgColor rgb="FFFDE9D9"/>
        <bgColor rgb="FFFCE4EC"/>
      </patternFill>
    </fill>
    <fill>
      <patternFill patternType="solid">
        <fgColor rgb="FFFCE4EC"/>
        <bgColor rgb="FFFDE9D9"/>
      </patternFill>
    </fill>
    <fill>
      <patternFill patternType="solid">
        <fgColor rgb="FFDDEBF7"/>
        <bgColor rgb="FFE7F0F8"/>
      </patternFill>
    </fill>
    <fill>
      <patternFill patternType="solid">
        <fgColor rgb="FFE2D5F1"/>
        <bgColor rgb="FFD0E0E3"/>
      </patternFill>
    </fill>
    <fill>
      <patternFill patternType="solid">
        <fgColor rgb="FFF8CBAD"/>
        <bgColor rgb="FFE2D5F1"/>
      </patternFill>
    </fill>
    <fill>
      <patternFill patternType="solid">
        <fgColor rgb="FFD0E0E3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0D7377"/>
        <bgColor rgb="FF008080"/>
      </patternFill>
    </fill>
    <fill>
      <patternFill patternType="solid">
        <fgColor rgb="FFE6F4F1"/>
        <bgColor rgb="FFE7F0F8"/>
      </patternFill>
    </fill>
    <fill>
      <patternFill patternType="solid">
        <fgColor rgb="FF9C0006"/>
        <bgColor rgb="FF800000"/>
      </patternFill>
    </fill>
    <fill>
      <patternFill patternType="solid">
        <fgColor rgb="FFFFFFFF"/>
        <bgColor rgb="FFFFF8E1"/>
      </patternFill>
    </fill>
    <fill>
      <patternFill patternType="solid">
        <fgColor rgb="FFC6EFCE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3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D5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0D7377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9D9"/>
      <rgbColor rgb="FFFF00FF"/>
      <rgbColor rgb="FF00FFFF"/>
      <rgbColor rgb="FF9C0006"/>
      <rgbColor rgb="FF008000"/>
      <rgbColor rgb="FF000080"/>
      <rgbColor rgb="FF7F6000"/>
      <rgbColor rgb="FF800080"/>
      <rgbColor rgb="FF0D7377"/>
      <rgbColor rgb="FFBFBFBF"/>
      <rgbColor rgb="FF808080"/>
      <rgbColor rgb="FFE7F0F8"/>
      <rgbColor rgb="FF993366"/>
      <rgbColor rgb="FFFFF8E1"/>
      <rgbColor rgb="FFE6F4F1"/>
      <rgbColor rgb="FF660066"/>
      <rgbColor rgb="FFFF8080"/>
      <rgbColor rgb="FF0066CC"/>
      <rgbColor rgb="FFE2D5F1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2CC"/>
      <rgbColor rgb="FFD0E0E3"/>
      <rgbColor rgb="FFFCE4EC"/>
      <rgbColor rgb="FFD9EAD3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9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8" activeCellId="0" sqref="A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9" min="6" style="0" width="16"/>
    <col collapsed="false" customWidth="true" hidden="false" outlineLevel="0" max="10" min="10" style="0" width="6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1.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7.5" hidden="false" customHeight="true" outlineLevel="0" collapsed="false"/>
    <row r="7" customFormat="false" ht="36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7" t="s">
        <v>12</v>
      </c>
      <c r="I7" s="6" t="s">
        <v>13</v>
      </c>
      <c r="J7" s="6" t="s">
        <v>14</v>
      </c>
    </row>
    <row r="8" customFormat="false" ht="21.75" hidden="false" customHeight="true" outlineLevel="0" collapsed="false">
      <c r="A8" s="8" t="n">
        <v>1</v>
      </c>
      <c r="B8" s="9" t="s">
        <v>15</v>
      </c>
      <c r="C8" s="8" t="n">
        <v>40</v>
      </c>
      <c r="D8" s="10" t="s">
        <v>16</v>
      </c>
      <c r="E8" s="8" t="n">
        <v>1</v>
      </c>
      <c r="F8" s="11" t="n">
        <v>1.4</v>
      </c>
      <c r="G8" s="11" t="n">
        <v>1.4</v>
      </c>
      <c r="H8" s="12" t="n">
        <f aca="false">F8/C8</f>
        <v>0.035</v>
      </c>
      <c r="I8" s="13" t="n">
        <f aca="false">C8*E8</f>
        <v>40</v>
      </c>
      <c r="J8" s="9"/>
    </row>
    <row r="9" customFormat="false" ht="21.75" hidden="false" customHeight="true" outlineLevel="0" collapsed="false">
      <c r="A9" s="8" t="n">
        <v>2</v>
      </c>
      <c r="B9" s="9" t="s">
        <v>17</v>
      </c>
      <c r="C9" s="8" t="n">
        <v>40</v>
      </c>
      <c r="D9" s="10" t="s">
        <v>16</v>
      </c>
      <c r="E9" s="8" t="n">
        <v>1</v>
      </c>
      <c r="F9" s="11" t="n">
        <v>1.4</v>
      </c>
      <c r="G9" s="11" t="n">
        <v>1.4</v>
      </c>
      <c r="H9" s="12" t="n">
        <f aca="false">F9/C9</f>
        <v>0.035</v>
      </c>
      <c r="I9" s="13" t="n">
        <f aca="false">C9*E9</f>
        <v>40</v>
      </c>
      <c r="J9" s="9"/>
    </row>
    <row r="10" customFormat="false" ht="21.75" hidden="false" customHeight="true" outlineLevel="0" collapsed="false">
      <c r="A10" s="14" t="n">
        <v>3</v>
      </c>
      <c r="B10" s="15" t="s">
        <v>18</v>
      </c>
      <c r="C10" s="14" t="n">
        <v>24</v>
      </c>
      <c r="D10" s="16" t="s">
        <v>19</v>
      </c>
      <c r="E10" s="14" t="n">
        <v>1</v>
      </c>
      <c r="F10" s="17" t="n">
        <v>1.95</v>
      </c>
      <c r="G10" s="17" t="n">
        <v>1.95</v>
      </c>
      <c r="H10" s="12" t="n">
        <f aca="false">F10/C10</f>
        <v>0.08125</v>
      </c>
      <c r="I10" s="18" t="n">
        <f aca="false">C10*E10</f>
        <v>24</v>
      </c>
      <c r="J10" s="15"/>
    </row>
    <row r="11" customFormat="false" ht="21.75" hidden="false" customHeight="true" outlineLevel="0" collapsed="false">
      <c r="A11" s="14" t="n">
        <v>4</v>
      </c>
      <c r="B11" s="15" t="s">
        <v>20</v>
      </c>
      <c r="C11" s="14" t="n">
        <v>12</v>
      </c>
      <c r="D11" s="16" t="s">
        <v>19</v>
      </c>
      <c r="E11" s="14" t="n">
        <v>1</v>
      </c>
      <c r="F11" s="17" t="n">
        <v>3.5</v>
      </c>
      <c r="G11" s="17" t="n">
        <v>3.5</v>
      </c>
      <c r="H11" s="12" t="n">
        <f aca="false">F11/C11</f>
        <v>0.291666666666667</v>
      </c>
      <c r="I11" s="18" t="n">
        <f aca="false">C11*E11</f>
        <v>12</v>
      </c>
      <c r="J11" s="15"/>
    </row>
    <row r="12" customFormat="false" ht="21.75" hidden="false" customHeight="true" outlineLevel="0" collapsed="false">
      <c r="A12" s="14" t="n">
        <v>5</v>
      </c>
      <c r="B12" s="15" t="s">
        <v>21</v>
      </c>
      <c r="C12" s="14" t="n">
        <v>12</v>
      </c>
      <c r="D12" s="16" t="s">
        <v>19</v>
      </c>
      <c r="E12" s="14" t="n">
        <v>1</v>
      </c>
      <c r="F12" s="17" t="n">
        <v>3.5</v>
      </c>
      <c r="G12" s="17" t="n">
        <v>3.5</v>
      </c>
      <c r="H12" s="12" t="n">
        <f aca="false">F12/C12</f>
        <v>0.291666666666667</v>
      </c>
      <c r="I12" s="18" t="n">
        <f aca="false">C12*E12</f>
        <v>12</v>
      </c>
      <c r="J12" s="15"/>
    </row>
    <row r="13" customFormat="false" ht="21.75" hidden="false" customHeight="true" outlineLevel="0" collapsed="false">
      <c r="A13" s="14" t="n">
        <v>6</v>
      </c>
      <c r="B13" s="15" t="s">
        <v>22</v>
      </c>
      <c r="C13" s="14" t="n">
        <v>12</v>
      </c>
      <c r="D13" s="16" t="s">
        <v>19</v>
      </c>
      <c r="E13" s="14" t="n">
        <v>1</v>
      </c>
      <c r="F13" s="17" t="n">
        <v>1.1</v>
      </c>
      <c r="G13" s="17" t="n">
        <v>1.1</v>
      </c>
      <c r="H13" s="12" t="n">
        <f aca="false">F13/C13</f>
        <v>0.0916666666666667</v>
      </c>
      <c r="I13" s="18" t="n">
        <f aca="false">C13*E13</f>
        <v>12</v>
      </c>
      <c r="J13" s="15"/>
    </row>
    <row r="14" customFormat="false" ht="21.75" hidden="false" customHeight="true" outlineLevel="0" collapsed="false">
      <c r="A14" s="14" t="n">
        <v>7</v>
      </c>
      <c r="B14" s="15" t="s">
        <v>23</v>
      </c>
      <c r="C14" s="14" t="n">
        <v>10</v>
      </c>
      <c r="D14" s="16" t="s">
        <v>19</v>
      </c>
      <c r="E14" s="14" t="n">
        <v>3</v>
      </c>
      <c r="F14" s="17" t="n">
        <v>1.5</v>
      </c>
      <c r="G14" s="17" t="n">
        <v>4.5</v>
      </c>
      <c r="H14" s="12" t="n">
        <f aca="false">F14/C14</f>
        <v>0.15</v>
      </c>
      <c r="I14" s="18" t="n">
        <f aca="false">C14*E14</f>
        <v>30</v>
      </c>
      <c r="J14" s="15"/>
    </row>
    <row r="15" customFormat="false" ht="21.75" hidden="false" customHeight="true" outlineLevel="0" collapsed="false">
      <c r="A15" s="14" t="n">
        <v>8</v>
      </c>
      <c r="B15" s="15" t="s">
        <v>24</v>
      </c>
      <c r="C15" s="14" t="n">
        <v>11</v>
      </c>
      <c r="D15" s="16" t="s">
        <v>19</v>
      </c>
      <c r="E15" s="14" t="n">
        <v>1</v>
      </c>
      <c r="F15" s="17" t="n">
        <v>4.5</v>
      </c>
      <c r="G15" s="17" t="n">
        <v>4.5</v>
      </c>
      <c r="H15" s="12" t="n">
        <f aca="false">F15/C15</f>
        <v>0.409090909090909</v>
      </c>
      <c r="I15" s="18" t="n">
        <f aca="false">C15*E15</f>
        <v>11</v>
      </c>
      <c r="J15" s="15"/>
    </row>
    <row r="16" customFormat="false" ht="21.75" hidden="false" customHeight="true" outlineLevel="0" collapsed="false">
      <c r="A16" s="14" t="n">
        <v>9</v>
      </c>
      <c r="B16" s="15" t="s">
        <v>25</v>
      </c>
      <c r="C16" s="14" t="n">
        <v>11</v>
      </c>
      <c r="D16" s="16" t="s">
        <v>19</v>
      </c>
      <c r="E16" s="14" t="n">
        <v>1</v>
      </c>
      <c r="F16" s="17" t="n">
        <v>4.5</v>
      </c>
      <c r="G16" s="17" t="n">
        <v>4.5</v>
      </c>
      <c r="H16" s="12" t="n">
        <f aca="false">F16/C16</f>
        <v>0.409090909090909</v>
      </c>
      <c r="I16" s="18" t="n">
        <f aca="false">C16*E16</f>
        <v>11</v>
      </c>
      <c r="J16" s="15"/>
    </row>
    <row r="17" customFormat="false" ht="21.75" hidden="false" customHeight="true" outlineLevel="0" collapsed="false">
      <c r="A17" s="14" t="n">
        <v>10</v>
      </c>
      <c r="B17" s="15" t="s">
        <v>26</v>
      </c>
      <c r="C17" s="14" t="n">
        <v>24</v>
      </c>
      <c r="D17" s="16" t="s">
        <v>19</v>
      </c>
      <c r="E17" s="14" t="n">
        <v>3</v>
      </c>
      <c r="F17" s="17" t="n">
        <v>1.1</v>
      </c>
      <c r="G17" s="17" t="n">
        <v>3.3</v>
      </c>
      <c r="H17" s="12" t="n">
        <f aca="false">F17/C17</f>
        <v>0.0458333333333333</v>
      </c>
      <c r="I17" s="18" t="n">
        <f aca="false">C17*E17</f>
        <v>72</v>
      </c>
      <c r="J17" s="15"/>
    </row>
    <row r="18" customFormat="false" ht="21.75" hidden="false" customHeight="true" outlineLevel="0" collapsed="false">
      <c r="A18" s="14" t="n">
        <v>11</v>
      </c>
      <c r="B18" s="15" t="s">
        <v>27</v>
      </c>
      <c r="C18" s="14" t="n">
        <v>12</v>
      </c>
      <c r="D18" s="16" t="s">
        <v>19</v>
      </c>
      <c r="E18" s="14" t="n">
        <v>1</v>
      </c>
      <c r="F18" s="17" t="n">
        <v>0.95</v>
      </c>
      <c r="G18" s="17" t="n">
        <v>0.95</v>
      </c>
      <c r="H18" s="12" t="n">
        <f aca="false">F18/C18</f>
        <v>0.0791666666666667</v>
      </c>
      <c r="I18" s="18" t="n">
        <f aca="false">C18*E18</f>
        <v>12</v>
      </c>
      <c r="J18" s="15"/>
    </row>
    <row r="19" customFormat="false" ht="21.75" hidden="false" customHeight="true" outlineLevel="0" collapsed="false">
      <c r="A19" s="14" t="n">
        <v>12</v>
      </c>
      <c r="B19" s="15" t="s">
        <v>28</v>
      </c>
      <c r="C19" s="14" t="n">
        <v>12</v>
      </c>
      <c r="D19" s="16" t="s">
        <v>19</v>
      </c>
      <c r="E19" s="14" t="n">
        <v>1</v>
      </c>
      <c r="F19" s="17" t="n">
        <v>2.35</v>
      </c>
      <c r="G19" s="17" t="n">
        <v>2.35</v>
      </c>
      <c r="H19" s="12" t="n">
        <f aca="false">F19/C19</f>
        <v>0.195833333333333</v>
      </c>
      <c r="I19" s="18" t="n">
        <f aca="false">C19*E19</f>
        <v>12</v>
      </c>
      <c r="J19" s="15"/>
    </row>
    <row r="20" customFormat="false" ht="21.75" hidden="false" customHeight="true" outlineLevel="0" collapsed="false">
      <c r="A20" s="14" t="n">
        <v>13</v>
      </c>
      <c r="B20" s="15" t="s">
        <v>29</v>
      </c>
      <c r="C20" s="14" t="n">
        <v>12</v>
      </c>
      <c r="D20" s="16" t="s">
        <v>19</v>
      </c>
      <c r="E20" s="14" t="n">
        <v>1</v>
      </c>
      <c r="F20" s="17" t="n">
        <v>2.35</v>
      </c>
      <c r="G20" s="17" t="n">
        <v>2.35</v>
      </c>
      <c r="H20" s="12" t="n">
        <f aca="false">F20/C20</f>
        <v>0.195833333333333</v>
      </c>
      <c r="I20" s="18" t="n">
        <f aca="false">C20*E20</f>
        <v>12</v>
      </c>
      <c r="J20" s="15"/>
    </row>
    <row r="21" customFormat="false" ht="21.75" hidden="false" customHeight="true" outlineLevel="0" collapsed="false">
      <c r="A21" s="14" t="n">
        <v>14</v>
      </c>
      <c r="B21" s="15" t="s">
        <v>30</v>
      </c>
      <c r="C21" s="14" t="n">
        <v>4</v>
      </c>
      <c r="D21" s="16" t="s">
        <v>19</v>
      </c>
      <c r="E21" s="14" t="n">
        <v>1</v>
      </c>
      <c r="F21" s="17" t="n">
        <v>7.9</v>
      </c>
      <c r="G21" s="17" t="n">
        <v>7.9</v>
      </c>
      <c r="H21" s="12" t="n">
        <f aca="false">F21/C21</f>
        <v>1.975</v>
      </c>
      <c r="I21" s="18" t="n">
        <f aca="false">C21*E21</f>
        <v>4</v>
      </c>
      <c r="J21" s="15"/>
    </row>
    <row r="22" customFormat="false" ht="21.75" hidden="false" customHeight="true" outlineLevel="0" collapsed="false">
      <c r="A22" s="14" t="n">
        <v>15</v>
      </c>
      <c r="B22" s="15" t="s">
        <v>31</v>
      </c>
      <c r="C22" s="14" t="n">
        <v>30</v>
      </c>
      <c r="D22" s="16" t="s">
        <v>19</v>
      </c>
      <c r="E22" s="14" t="n">
        <v>1</v>
      </c>
      <c r="F22" s="17" t="n">
        <v>3</v>
      </c>
      <c r="G22" s="17" t="n">
        <v>3</v>
      </c>
      <c r="H22" s="12" t="n">
        <f aca="false">F22/C22</f>
        <v>0.1</v>
      </c>
      <c r="I22" s="18" t="n">
        <f aca="false">C22*E22</f>
        <v>30</v>
      </c>
      <c r="J22" s="15"/>
    </row>
    <row r="23" customFormat="false" ht="48" hidden="false" customHeight="true" outlineLevel="0" collapsed="false">
      <c r="A23" s="19" t="n">
        <v>16</v>
      </c>
      <c r="B23" s="20" t="s">
        <v>32</v>
      </c>
      <c r="C23" s="19" t="n">
        <v>1</v>
      </c>
      <c r="D23" s="21" t="s">
        <v>33</v>
      </c>
      <c r="E23" s="19" t="n">
        <v>1</v>
      </c>
      <c r="F23" s="22" t="n">
        <v>1.75</v>
      </c>
      <c r="G23" s="22" t="n">
        <v>1.75</v>
      </c>
      <c r="H23" s="12" t="n">
        <f aca="false">F23/C23</f>
        <v>1.75</v>
      </c>
      <c r="I23" s="23" t="n">
        <f aca="false">C23*E23</f>
        <v>1</v>
      </c>
      <c r="J23" s="24" t="s">
        <v>34</v>
      </c>
    </row>
    <row r="24" customFormat="false" ht="21.75" hidden="false" customHeight="true" outlineLevel="0" collapsed="false">
      <c r="A24" s="14" t="n">
        <v>17</v>
      </c>
      <c r="B24" s="15" t="s">
        <v>35</v>
      </c>
      <c r="C24" s="14" t="n">
        <v>24</v>
      </c>
      <c r="D24" s="16" t="s">
        <v>19</v>
      </c>
      <c r="E24" s="14" t="n">
        <v>1</v>
      </c>
      <c r="F24" s="17" t="n">
        <v>2.75</v>
      </c>
      <c r="G24" s="17" t="n">
        <v>2.75</v>
      </c>
      <c r="H24" s="12" t="n">
        <f aca="false">F24/C24</f>
        <v>0.114583333333333</v>
      </c>
      <c r="I24" s="18" t="n">
        <f aca="false">C24*E24</f>
        <v>24</v>
      </c>
      <c r="J24" s="15"/>
    </row>
    <row r="25" customFormat="false" ht="21.75" hidden="false" customHeight="true" outlineLevel="0" collapsed="false">
      <c r="A25" s="14" t="n">
        <v>18</v>
      </c>
      <c r="B25" s="15" t="s">
        <v>36</v>
      </c>
      <c r="C25" s="14" t="n">
        <v>24</v>
      </c>
      <c r="D25" s="16" t="s">
        <v>19</v>
      </c>
      <c r="E25" s="14" t="n">
        <v>1</v>
      </c>
      <c r="F25" s="17" t="n">
        <v>5.5</v>
      </c>
      <c r="G25" s="17" t="n">
        <v>5.5</v>
      </c>
      <c r="H25" s="12" t="n">
        <f aca="false">F25/C25</f>
        <v>0.229166666666667</v>
      </c>
      <c r="I25" s="18" t="n">
        <f aca="false">C25*E25</f>
        <v>24</v>
      </c>
      <c r="J25" s="15"/>
    </row>
    <row r="26" customFormat="false" ht="21.75" hidden="false" customHeight="true" outlineLevel="0" collapsed="false">
      <c r="A26" s="14" t="n">
        <v>19</v>
      </c>
      <c r="B26" s="15" t="s">
        <v>37</v>
      </c>
      <c r="C26" s="14" t="n">
        <v>36</v>
      </c>
      <c r="D26" s="16" t="s">
        <v>19</v>
      </c>
      <c r="E26" s="14" t="n">
        <v>1</v>
      </c>
      <c r="F26" s="17" t="n">
        <v>1.75</v>
      </c>
      <c r="G26" s="17" t="n">
        <v>1.75</v>
      </c>
      <c r="H26" s="12" t="n">
        <f aca="false">F26/C26</f>
        <v>0.0486111111111111</v>
      </c>
      <c r="I26" s="18" t="n">
        <f aca="false">C26*E26</f>
        <v>36</v>
      </c>
      <c r="J26" s="15"/>
    </row>
    <row r="27" customFormat="false" ht="30" hidden="false" customHeight="true" outlineLevel="0" collapsed="false">
      <c r="A27" s="25" t="n">
        <v>20</v>
      </c>
      <c r="B27" s="26" t="s">
        <v>38</v>
      </c>
      <c r="C27" s="25" t="n">
        <v>1</v>
      </c>
      <c r="D27" s="27" t="s">
        <v>39</v>
      </c>
      <c r="E27" s="25" t="n">
        <v>6</v>
      </c>
      <c r="F27" s="28" t="n">
        <v>0.583</v>
      </c>
      <c r="G27" s="28" t="n">
        <v>3.5</v>
      </c>
      <c r="H27" s="12" t="n">
        <f aca="false">F27/C27</f>
        <v>0.583</v>
      </c>
      <c r="I27" s="29" t="n">
        <f aca="false">C27*E27</f>
        <v>6</v>
      </c>
      <c r="J27" s="26" t="s">
        <v>40</v>
      </c>
    </row>
    <row r="28" customFormat="false" ht="30" hidden="false" customHeight="true" outlineLevel="0" collapsed="false">
      <c r="A28" s="25" t="n">
        <v>21</v>
      </c>
      <c r="B28" s="26" t="s">
        <v>41</v>
      </c>
      <c r="C28" s="25" t="n">
        <v>1</v>
      </c>
      <c r="D28" s="27" t="s">
        <v>39</v>
      </c>
      <c r="E28" s="25" t="n">
        <v>6</v>
      </c>
      <c r="F28" s="28" t="n">
        <v>0.792</v>
      </c>
      <c r="G28" s="28" t="n">
        <v>4.75</v>
      </c>
      <c r="H28" s="12" t="n">
        <f aca="false">F28/C28</f>
        <v>0.792</v>
      </c>
      <c r="I28" s="29" t="n">
        <f aca="false">C28*E28</f>
        <v>6</v>
      </c>
      <c r="J28" s="26" t="s">
        <v>40</v>
      </c>
    </row>
    <row r="29" customFormat="false" ht="21.75" hidden="false" customHeight="true" outlineLevel="0" collapsed="false">
      <c r="A29" s="14" t="n">
        <v>22</v>
      </c>
      <c r="B29" s="15" t="s">
        <v>42</v>
      </c>
      <c r="C29" s="14" t="n">
        <v>30</v>
      </c>
      <c r="D29" s="16" t="s">
        <v>19</v>
      </c>
      <c r="E29" s="14" t="n">
        <v>1</v>
      </c>
      <c r="F29" s="17" t="n">
        <v>1.4</v>
      </c>
      <c r="G29" s="17" t="n">
        <v>1.4</v>
      </c>
      <c r="H29" s="12" t="n">
        <f aca="false">F29/C29</f>
        <v>0.0466666666666667</v>
      </c>
      <c r="I29" s="18" t="n">
        <f aca="false">C29*E29</f>
        <v>30</v>
      </c>
      <c r="J29" s="15"/>
    </row>
    <row r="30" customFormat="false" ht="21.75" hidden="false" customHeight="true" outlineLevel="0" collapsed="false">
      <c r="A30" s="14" t="n">
        <v>23</v>
      </c>
      <c r="B30" s="15" t="s">
        <v>43</v>
      </c>
      <c r="C30" s="14" t="n">
        <v>36</v>
      </c>
      <c r="D30" s="16" t="s">
        <v>19</v>
      </c>
      <c r="E30" s="14" t="n">
        <v>1</v>
      </c>
      <c r="F30" s="17" t="n">
        <v>7.95</v>
      </c>
      <c r="G30" s="17" t="n">
        <v>7.95</v>
      </c>
      <c r="H30" s="12" t="n">
        <f aca="false">F30/C30</f>
        <v>0.220833333333333</v>
      </c>
      <c r="I30" s="18" t="n">
        <f aca="false">C30*E30</f>
        <v>36</v>
      </c>
      <c r="J30" s="15"/>
    </row>
    <row r="31" customFormat="false" ht="21.75" hidden="false" customHeight="true" outlineLevel="0" collapsed="false">
      <c r="A31" s="14" t="n">
        <v>24</v>
      </c>
      <c r="B31" s="15" t="s">
        <v>44</v>
      </c>
      <c r="C31" s="14" t="n">
        <v>24</v>
      </c>
      <c r="D31" s="16" t="s">
        <v>19</v>
      </c>
      <c r="E31" s="14" t="n">
        <v>1</v>
      </c>
      <c r="F31" s="17" t="n">
        <v>4.25</v>
      </c>
      <c r="G31" s="17" t="n">
        <v>4.25</v>
      </c>
      <c r="H31" s="12" t="n">
        <f aca="false">F31/C31</f>
        <v>0.177083333333333</v>
      </c>
      <c r="I31" s="18" t="n">
        <f aca="false">C31*E31</f>
        <v>24</v>
      </c>
      <c r="J31" s="15"/>
    </row>
    <row r="32" customFormat="false" ht="30" hidden="false" customHeight="true" outlineLevel="0" collapsed="false">
      <c r="A32" s="25" t="n">
        <v>25</v>
      </c>
      <c r="B32" s="26" t="s">
        <v>45</v>
      </c>
      <c r="C32" s="25" t="n">
        <v>1</v>
      </c>
      <c r="D32" s="27" t="s">
        <v>39</v>
      </c>
      <c r="E32" s="25" t="n">
        <v>6</v>
      </c>
      <c r="F32" s="28" t="n">
        <v>0.292</v>
      </c>
      <c r="G32" s="28" t="n">
        <v>1.75</v>
      </c>
      <c r="H32" s="12" t="n">
        <f aca="false">F32/C32</f>
        <v>0.292</v>
      </c>
      <c r="I32" s="29" t="n">
        <f aca="false">C32*E32</f>
        <v>6</v>
      </c>
      <c r="J32" s="26" t="s">
        <v>40</v>
      </c>
    </row>
    <row r="33" customFormat="false" ht="30" hidden="false" customHeight="true" outlineLevel="0" collapsed="false">
      <c r="A33" s="25" t="n">
        <v>26</v>
      </c>
      <c r="B33" s="26" t="s">
        <v>46</v>
      </c>
      <c r="C33" s="25" t="n">
        <v>1</v>
      </c>
      <c r="D33" s="27" t="s">
        <v>39</v>
      </c>
      <c r="E33" s="25" t="n">
        <v>6</v>
      </c>
      <c r="F33" s="28" t="n">
        <v>0.292</v>
      </c>
      <c r="G33" s="28" t="n">
        <v>1.75</v>
      </c>
      <c r="H33" s="12" t="n">
        <f aca="false">F33/C33</f>
        <v>0.292</v>
      </c>
      <c r="I33" s="29" t="n">
        <f aca="false">C33*E33</f>
        <v>6</v>
      </c>
      <c r="J33" s="26" t="s">
        <v>40</v>
      </c>
    </row>
    <row r="34" customFormat="false" ht="21.75" hidden="false" customHeight="true" outlineLevel="0" collapsed="false">
      <c r="A34" s="30" t="n">
        <v>27</v>
      </c>
      <c r="B34" s="31" t="s">
        <v>47</v>
      </c>
      <c r="C34" s="30" t="n">
        <v>4</v>
      </c>
      <c r="D34" s="32" t="s">
        <v>48</v>
      </c>
      <c r="E34" s="30" t="n">
        <v>1</v>
      </c>
      <c r="F34" s="33" t="n">
        <v>6</v>
      </c>
      <c r="G34" s="33" t="n">
        <v>6</v>
      </c>
      <c r="H34" s="12" t="n">
        <f aca="false">F34/C34</f>
        <v>1.5</v>
      </c>
      <c r="I34" s="34" t="n">
        <f aca="false">C34*E34</f>
        <v>4</v>
      </c>
      <c r="J34" s="31"/>
    </row>
    <row r="35" customFormat="false" ht="21.75" hidden="false" customHeight="true" outlineLevel="0" collapsed="false">
      <c r="A35" s="30" t="n">
        <v>28</v>
      </c>
      <c r="B35" s="31" t="s">
        <v>49</v>
      </c>
      <c r="C35" s="30" t="n">
        <v>1</v>
      </c>
      <c r="D35" s="32" t="s">
        <v>48</v>
      </c>
      <c r="E35" s="30" t="n">
        <v>2</v>
      </c>
      <c r="F35" s="33" t="n">
        <v>2.25</v>
      </c>
      <c r="G35" s="33" t="n">
        <v>4.5</v>
      </c>
      <c r="H35" s="12" t="n">
        <f aca="false">F35/C35</f>
        <v>2.25</v>
      </c>
      <c r="I35" s="34" t="n">
        <f aca="false">C35*E35</f>
        <v>2</v>
      </c>
      <c r="J35" s="31"/>
    </row>
    <row r="36" customFormat="false" ht="21.75" hidden="false" customHeight="true" outlineLevel="0" collapsed="false">
      <c r="A36" s="30" t="n">
        <v>29</v>
      </c>
      <c r="B36" s="31" t="s">
        <v>50</v>
      </c>
      <c r="C36" s="30" t="n">
        <v>24</v>
      </c>
      <c r="D36" s="32" t="s">
        <v>48</v>
      </c>
      <c r="E36" s="30" t="n">
        <v>1</v>
      </c>
      <c r="F36" s="33" t="n">
        <v>5.75</v>
      </c>
      <c r="G36" s="33" t="n">
        <v>5.75</v>
      </c>
      <c r="H36" s="12" t="n">
        <f aca="false">F36/C36</f>
        <v>0.239583333333333</v>
      </c>
      <c r="I36" s="34" t="n">
        <f aca="false">C36*E36</f>
        <v>24</v>
      </c>
      <c r="J36" s="31"/>
    </row>
    <row r="37" customFormat="false" ht="21.75" hidden="false" customHeight="true" outlineLevel="0" collapsed="false">
      <c r="A37" s="30" t="n">
        <v>30</v>
      </c>
      <c r="B37" s="31" t="s">
        <v>51</v>
      </c>
      <c r="C37" s="30" t="n">
        <v>24</v>
      </c>
      <c r="D37" s="32" t="s">
        <v>48</v>
      </c>
      <c r="E37" s="30" t="n">
        <v>1</v>
      </c>
      <c r="F37" s="33" t="n">
        <v>5.75</v>
      </c>
      <c r="G37" s="33" t="n">
        <v>5.75</v>
      </c>
      <c r="H37" s="12" t="n">
        <f aca="false">F37/C37</f>
        <v>0.239583333333333</v>
      </c>
      <c r="I37" s="34" t="n">
        <f aca="false">C37*E37</f>
        <v>24</v>
      </c>
      <c r="J37" s="31"/>
    </row>
    <row r="38" customFormat="false" ht="21.75" hidden="false" customHeight="true" outlineLevel="0" collapsed="false">
      <c r="A38" s="14" t="n">
        <v>31</v>
      </c>
      <c r="B38" s="15" t="s">
        <v>52</v>
      </c>
      <c r="C38" s="14" t="n">
        <v>24</v>
      </c>
      <c r="D38" s="16" t="s">
        <v>19</v>
      </c>
      <c r="E38" s="14" t="n">
        <v>1</v>
      </c>
      <c r="F38" s="17" t="n">
        <v>3</v>
      </c>
      <c r="G38" s="17" t="n">
        <v>3</v>
      </c>
      <c r="H38" s="12" t="n">
        <f aca="false">F38/C38</f>
        <v>0.125</v>
      </c>
      <c r="I38" s="18" t="n">
        <f aca="false">C38*E38</f>
        <v>24</v>
      </c>
      <c r="J38" s="15"/>
    </row>
    <row r="39" customFormat="false" ht="21.75" hidden="false" customHeight="true" outlineLevel="0" collapsed="false">
      <c r="A39" s="30" t="n">
        <v>32</v>
      </c>
      <c r="B39" s="31" t="s">
        <v>53</v>
      </c>
      <c r="C39" s="30" t="n">
        <v>24</v>
      </c>
      <c r="D39" s="32" t="s">
        <v>48</v>
      </c>
      <c r="E39" s="30" t="n">
        <v>2</v>
      </c>
      <c r="F39" s="33" t="n">
        <v>3.25</v>
      </c>
      <c r="G39" s="33" t="n">
        <v>6.5</v>
      </c>
      <c r="H39" s="12" t="n">
        <f aca="false">F39/C39</f>
        <v>0.135416666666667</v>
      </c>
      <c r="I39" s="34" t="n">
        <f aca="false">C39*E39</f>
        <v>48</v>
      </c>
      <c r="J39" s="31"/>
    </row>
    <row r="40" customFormat="false" ht="30" hidden="false" customHeight="true" outlineLevel="0" collapsed="false">
      <c r="A40" s="25" t="n">
        <v>33</v>
      </c>
      <c r="B40" s="26" t="s">
        <v>54</v>
      </c>
      <c r="C40" s="25" t="n">
        <v>1</v>
      </c>
      <c r="D40" s="27" t="s">
        <v>39</v>
      </c>
      <c r="E40" s="25" t="n">
        <v>6</v>
      </c>
      <c r="F40" s="28" t="n">
        <v>0.35</v>
      </c>
      <c r="G40" s="28" t="n">
        <v>2.1</v>
      </c>
      <c r="H40" s="12" t="n">
        <f aca="false">F40/C40</f>
        <v>0.35</v>
      </c>
      <c r="I40" s="29" t="n">
        <f aca="false">C40*E40</f>
        <v>6</v>
      </c>
      <c r="J40" s="26" t="s">
        <v>40</v>
      </c>
    </row>
    <row r="41" customFormat="false" ht="30" hidden="false" customHeight="true" outlineLevel="0" collapsed="false">
      <c r="A41" s="25" t="n">
        <v>34</v>
      </c>
      <c r="B41" s="26" t="s">
        <v>55</v>
      </c>
      <c r="C41" s="25" t="n">
        <v>1</v>
      </c>
      <c r="D41" s="27" t="s">
        <v>39</v>
      </c>
      <c r="E41" s="25" t="n">
        <v>6</v>
      </c>
      <c r="F41" s="28" t="n">
        <v>0.3</v>
      </c>
      <c r="G41" s="28" t="n">
        <v>1.8</v>
      </c>
      <c r="H41" s="12" t="n">
        <f aca="false">F41/C41</f>
        <v>0.3</v>
      </c>
      <c r="I41" s="29" t="n">
        <f aca="false">C41*E41</f>
        <v>6</v>
      </c>
      <c r="J41" s="26" t="s">
        <v>40</v>
      </c>
    </row>
    <row r="42" customFormat="false" ht="21.75" hidden="false" customHeight="true" outlineLevel="0" collapsed="false">
      <c r="A42" s="14" t="n">
        <v>35</v>
      </c>
      <c r="B42" s="15" t="s">
        <v>56</v>
      </c>
      <c r="C42" s="14" t="n">
        <v>10</v>
      </c>
      <c r="D42" s="16" t="s">
        <v>19</v>
      </c>
      <c r="E42" s="14" t="n">
        <v>1</v>
      </c>
      <c r="F42" s="17" t="n">
        <v>2.4</v>
      </c>
      <c r="G42" s="17" t="n">
        <v>2.4</v>
      </c>
      <c r="H42" s="12" t="n">
        <f aca="false">F42/C42</f>
        <v>0.24</v>
      </c>
      <c r="I42" s="18" t="n">
        <f aca="false">C42*E42</f>
        <v>10</v>
      </c>
      <c r="J42" s="15"/>
    </row>
    <row r="43" customFormat="false" ht="21.75" hidden="false" customHeight="true" outlineLevel="0" collapsed="false">
      <c r="A43" s="14" t="n">
        <v>36</v>
      </c>
      <c r="B43" s="15" t="s">
        <v>57</v>
      </c>
      <c r="C43" s="14" t="n">
        <v>10</v>
      </c>
      <c r="D43" s="16" t="s">
        <v>19</v>
      </c>
      <c r="E43" s="14" t="n">
        <v>1</v>
      </c>
      <c r="F43" s="17" t="n">
        <v>2.4</v>
      </c>
      <c r="G43" s="17" t="n">
        <v>2.4</v>
      </c>
      <c r="H43" s="12" t="n">
        <f aca="false">F43/C43</f>
        <v>0.24</v>
      </c>
      <c r="I43" s="18" t="n">
        <f aca="false">C43*E43</f>
        <v>10</v>
      </c>
      <c r="J43" s="15"/>
    </row>
    <row r="44" customFormat="false" ht="21.75" hidden="false" customHeight="true" outlineLevel="0" collapsed="false">
      <c r="A44" s="14" t="n">
        <v>37</v>
      </c>
      <c r="B44" s="15" t="s">
        <v>58</v>
      </c>
      <c r="C44" s="14" t="n">
        <v>10</v>
      </c>
      <c r="D44" s="16" t="s">
        <v>19</v>
      </c>
      <c r="E44" s="14" t="n">
        <v>1</v>
      </c>
      <c r="F44" s="17" t="n">
        <v>2.4</v>
      </c>
      <c r="G44" s="17" t="n">
        <v>2.4</v>
      </c>
      <c r="H44" s="12" t="n">
        <f aca="false">F44/C44</f>
        <v>0.24</v>
      </c>
      <c r="I44" s="18" t="n">
        <f aca="false">C44*E44</f>
        <v>10</v>
      </c>
      <c r="J44" s="15"/>
    </row>
    <row r="45" customFormat="false" ht="21.75" hidden="false" customHeight="true" outlineLevel="0" collapsed="false">
      <c r="A45" s="14" t="n">
        <v>38</v>
      </c>
      <c r="B45" s="15" t="s">
        <v>59</v>
      </c>
      <c r="C45" s="14" t="n">
        <v>30</v>
      </c>
      <c r="D45" s="16" t="s">
        <v>19</v>
      </c>
      <c r="E45" s="14" t="n">
        <v>1</v>
      </c>
      <c r="F45" s="17" t="n">
        <v>2.65</v>
      </c>
      <c r="G45" s="17" t="n">
        <v>2.65</v>
      </c>
      <c r="H45" s="12" t="n">
        <f aca="false">F45/C45</f>
        <v>0.0883333333333333</v>
      </c>
      <c r="I45" s="18" t="n">
        <f aca="false">C45*E45</f>
        <v>30</v>
      </c>
      <c r="J45" s="15"/>
    </row>
    <row r="46" customFormat="false" ht="21.75" hidden="false" customHeight="true" outlineLevel="0" collapsed="false">
      <c r="A46" s="14" t="n">
        <v>39</v>
      </c>
      <c r="B46" s="15" t="s">
        <v>60</v>
      </c>
      <c r="C46" s="14" t="n">
        <v>2</v>
      </c>
      <c r="D46" s="16" t="s">
        <v>19</v>
      </c>
      <c r="E46" s="14" t="n">
        <v>1</v>
      </c>
      <c r="F46" s="17" t="n">
        <v>3.2</v>
      </c>
      <c r="G46" s="17" t="n">
        <v>3.2</v>
      </c>
      <c r="H46" s="12" t="n">
        <f aca="false">F46/C46</f>
        <v>1.6</v>
      </c>
      <c r="I46" s="18" t="n">
        <f aca="false">C46*E46</f>
        <v>2</v>
      </c>
      <c r="J46" s="15"/>
    </row>
    <row r="47" customFormat="false" ht="21.75" hidden="false" customHeight="true" outlineLevel="0" collapsed="false">
      <c r="A47" s="14" t="n">
        <v>40</v>
      </c>
      <c r="B47" s="15" t="s">
        <v>61</v>
      </c>
      <c r="C47" s="14" t="n">
        <v>25</v>
      </c>
      <c r="D47" s="16" t="s">
        <v>19</v>
      </c>
      <c r="E47" s="14" t="n">
        <v>1</v>
      </c>
      <c r="F47" s="17" t="n">
        <v>5.75</v>
      </c>
      <c r="G47" s="17" t="n">
        <v>5.75</v>
      </c>
      <c r="H47" s="12" t="n">
        <f aca="false">F47/C47</f>
        <v>0.23</v>
      </c>
      <c r="I47" s="18" t="n">
        <f aca="false">C47*E47</f>
        <v>25</v>
      </c>
      <c r="J47" s="15"/>
    </row>
    <row r="48" customFormat="false" ht="21.75" hidden="false" customHeight="true" outlineLevel="0" collapsed="false">
      <c r="A48" s="14" t="n">
        <v>41</v>
      </c>
      <c r="B48" s="15" t="s">
        <v>62</v>
      </c>
      <c r="C48" s="14" t="n">
        <v>50</v>
      </c>
      <c r="D48" s="16" t="s">
        <v>19</v>
      </c>
      <c r="E48" s="14" t="n">
        <v>1</v>
      </c>
      <c r="F48" s="17" t="n">
        <v>5.5</v>
      </c>
      <c r="G48" s="17" t="n">
        <v>5.5</v>
      </c>
      <c r="H48" s="12" t="n">
        <f aca="false">F48/C48</f>
        <v>0.11</v>
      </c>
      <c r="I48" s="18" t="n">
        <f aca="false">C48*E48</f>
        <v>50</v>
      </c>
      <c r="J48" s="15"/>
    </row>
    <row r="49" customFormat="false" ht="21.75" hidden="false" customHeight="true" outlineLevel="0" collapsed="false">
      <c r="A49" s="14" t="n">
        <v>42</v>
      </c>
      <c r="B49" s="15" t="s">
        <v>63</v>
      </c>
      <c r="C49" s="14" t="n">
        <v>45</v>
      </c>
      <c r="D49" s="16" t="s">
        <v>19</v>
      </c>
      <c r="E49" s="14" t="n">
        <v>1</v>
      </c>
      <c r="F49" s="17" t="n">
        <v>5.5</v>
      </c>
      <c r="G49" s="17" t="n">
        <v>5.5</v>
      </c>
      <c r="H49" s="12" t="n">
        <f aca="false">F49/C49</f>
        <v>0.122222222222222</v>
      </c>
      <c r="I49" s="18" t="n">
        <f aca="false">C49*E49</f>
        <v>45</v>
      </c>
      <c r="J49" s="15"/>
    </row>
    <row r="50" customFormat="false" ht="21.75" hidden="false" customHeight="true" outlineLevel="0" collapsed="false">
      <c r="A50" s="14" t="n">
        <v>43</v>
      </c>
      <c r="B50" s="15" t="s">
        <v>64</v>
      </c>
      <c r="C50" s="14" t="n">
        <v>48</v>
      </c>
      <c r="D50" s="16" t="s">
        <v>19</v>
      </c>
      <c r="E50" s="14" t="n">
        <v>1</v>
      </c>
      <c r="F50" s="17" t="n">
        <v>12.75</v>
      </c>
      <c r="G50" s="17" t="n">
        <v>12.75</v>
      </c>
      <c r="H50" s="12" t="n">
        <f aca="false">F50/C50</f>
        <v>0.265625</v>
      </c>
      <c r="I50" s="18" t="n">
        <f aca="false">C50*E50</f>
        <v>48</v>
      </c>
      <c r="J50" s="15"/>
    </row>
    <row r="51" customFormat="false" ht="21.75" hidden="false" customHeight="true" outlineLevel="0" collapsed="false">
      <c r="A51" s="14" t="n">
        <v>44</v>
      </c>
      <c r="B51" s="15" t="s">
        <v>65</v>
      </c>
      <c r="C51" s="14" t="n">
        <v>25</v>
      </c>
      <c r="D51" s="16" t="s">
        <v>19</v>
      </c>
      <c r="E51" s="14" t="n">
        <v>1</v>
      </c>
      <c r="F51" s="17" t="n">
        <v>5.25</v>
      </c>
      <c r="G51" s="17" t="n">
        <v>5.25</v>
      </c>
      <c r="H51" s="12" t="n">
        <f aca="false">F51/C51</f>
        <v>0.21</v>
      </c>
      <c r="I51" s="18" t="n">
        <f aca="false">C51*E51</f>
        <v>25</v>
      </c>
      <c r="J51" s="15"/>
    </row>
    <row r="52" customFormat="false" ht="48" hidden="false" customHeight="true" outlineLevel="0" collapsed="false">
      <c r="A52" s="14" t="n">
        <v>45</v>
      </c>
      <c r="B52" s="15" t="s">
        <v>66</v>
      </c>
      <c r="C52" s="14" t="n">
        <v>5</v>
      </c>
      <c r="D52" s="16" t="s">
        <v>19</v>
      </c>
      <c r="E52" s="14" t="n">
        <v>1</v>
      </c>
      <c r="F52" s="17" t="n">
        <v>5.25</v>
      </c>
      <c r="G52" s="17" t="n">
        <v>5.25</v>
      </c>
      <c r="H52" s="12" t="n">
        <f aca="false">F52/C52</f>
        <v>1.05</v>
      </c>
      <c r="I52" s="18" t="n">
        <f aca="false">C52*E52</f>
        <v>5</v>
      </c>
      <c r="J52" s="24" t="s">
        <v>67</v>
      </c>
    </row>
    <row r="53" customFormat="false" ht="30" hidden="false" customHeight="true" outlineLevel="0" collapsed="false">
      <c r="A53" s="25" t="n">
        <v>46</v>
      </c>
      <c r="B53" s="26" t="s">
        <v>68</v>
      </c>
      <c r="C53" s="25" t="n">
        <v>1</v>
      </c>
      <c r="D53" s="27" t="s">
        <v>39</v>
      </c>
      <c r="E53" s="25" t="n">
        <v>12</v>
      </c>
      <c r="F53" s="28" t="n">
        <v>0.396</v>
      </c>
      <c r="G53" s="28" t="n">
        <v>4.75</v>
      </c>
      <c r="H53" s="12" t="n">
        <f aca="false">F53/C53</f>
        <v>0.396</v>
      </c>
      <c r="I53" s="29" t="n">
        <f aca="false">C53*E53</f>
        <v>12</v>
      </c>
      <c r="J53" s="26" t="s">
        <v>40</v>
      </c>
    </row>
    <row r="54" customFormat="false" ht="21.75" hidden="false" customHeight="true" outlineLevel="0" collapsed="false">
      <c r="A54" s="14" t="n">
        <v>47</v>
      </c>
      <c r="B54" s="15" t="s">
        <v>69</v>
      </c>
      <c r="C54" s="14" t="n">
        <v>3</v>
      </c>
      <c r="D54" s="16" t="s">
        <v>19</v>
      </c>
      <c r="E54" s="14" t="n">
        <v>1</v>
      </c>
      <c r="F54" s="17" t="n">
        <v>5.5</v>
      </c>
      <c r="G54" s="17" t="n">
        <v>5.5</v>
      </c>
      <c r="H54" s="12" t="n">
        <f aca="false">F54/C54</f>
        <v>1.83333333333333</v>
      </c>
      <c r="I54" s="18" t="n">
        <f aca="false">C54*E54</f>
        <v>3</v>
      </c>
      <c r="J54" s="15"/>
    </row>
    <row r="55" customFormat="false" ht="21.75" hidden="false" customHeight="true" outlineLevel="0" collapsed="false">
      <c r="A55" s="14" t="n">
        <v>48</v>
      </c>
      <c r="B55" s="15" t="s">
        <v>70</v>
      </c>
      <c r="C55" s="14" t="n">
        <v>4</v>
      </c>
      <c r="D55" s="16" t="s">
        <v>19</v>
      </c>
      <c r="E55" s="14" t="n">
        <v>1</v>
      </c>
      <c r="F55" s="17" t="n">
        <v>5.75</v>
      </c>
      <c r="G55" s="17" t="n">
        <v>5.75</v>
      </c>
      <c r="H55" s="12" t="n">
        <f aca="false">F55/C55</f>
        <v>1.4375</v>
      </c>
      <c r="I55" s="18" t="n">
        <f aca="false">C55*E55</f>
        <v>4</v>
      </c>
      <c r="J55" s="15"/>
    </row>
    <row r="56" customFormat="false" ht="48" hidden="false" customHeight="true" outlineLevel="0" collapsed="false">
      <c r="A56" s="14" t="n">
        <v>49</v>
      </c>
      <c r="B56" s="15" t="s">
        <v>71</v>
      </c>
      <c r="C56" s="14" t="n">
        <v>1</v>
      </c>
      <c r="D56" s="16" t="s">
        <v>19</v>
      </c>
      <c r="E56" s="14" t="n">
        <v>2</v>
      </c>
      <c r="F56" s="17" t="n">
        <v>1.1</v>
      </c>
      <c r="G56" s="17" t="n">
        <v>2.2</v>
      </c>
      <c r="H56" s="12" t="n">
        <f aca="false">F56/C56</f>
        <v>1.1</v>
      </c>
      <c r="I56" s="18" t="n">
        <f aca="false">C56*E56</f>
        <v>2</v>
      </c>
      <c r="J56" s="24" t="s">
        <v>72</v>
      </c>
    </row>
    <row r="57" customFormat="false" ht="48" hidden="false" customHeight="true" outlineLevel="0" collapsed="false">
      <c r="A57" s="19" t="n">
        <v>50</v>
      </c>
      <c r="B57" s="20" t="s">
        <v>73</v>
      </c>
      <c r="C57" s="19" t="n">
        <v>1</v>
      </c>
      <c r="D57" s="21" t="s">
        <v>33</v>
      </c>
      <c r="E57" s="19" t="n">
        <v>2</v>
      </c>
      <c r="F57" s="22" t="n">
        <v>1.1</v>
      </c>
      <c r="G57" s="22" t="n">
        <v>2.2</v>
      </c>
      <c r="H57" s="12" t="n">
        <f aca="false">F57/C57</f>
        <v>1.1</v>
      </c>
      <c r="I57" s="23" t="n">
        <f aca="false">C57*E57</f>
        <v>2</v>
      </c>
      <c r="J57" s="24" t="s">
        <v>74</v>
      </c>
    </row>
    <row r="58" customFormat="false" ht="21.75" hidden="false" customHeight="true" outlineLevel="0" collapsed="false">
      <c r="A58" s="14" t="n">
        <v>51</v>
      </c>
      <c r="B58" s="15" t="s">
        <v>75</v>
      </c>
      <c r="C58" s="14" t="n">
        <v>6</v>
      </c>
      <c r="D58" s="16" t="s">
        <v>19</v>
      </c>
      <c r="E58" s="14" t="n">
        <v>1</v>
      </c>
      <c r="F58" s="17" t="n">
        <v>4.75</v>
      </c>
      <c r="G58" s="17" t="n">
        <v>4.75</v>
      </c>
      <c r="H58" s="12" t="n">
        <f aca="false">F58/C58</f>
        <v>0.791666666666667</v>
      </c>
      <c r="I58" s="18" t="n">
        <f aca="false">C58*E58</f>
        <v>6</v>
      </c>
      <c r="J58" s="15"/>
    </row>
    <row r="59" customFormat="false" ht="48" hidden="false" customHeight="true" outlineLevel="0" collapsed="false">
      <c r="A59" s="14" t="n">
        <v>52</v>
      </c>
      <c r="B59" s="15" t="s">
        <v>76</v>
      </c>
      <c r="C59" s="14" t="n">
        <v>2</v>
      </c>
      <c r="D59" s="16" t="s">
        <v>19</v>
      </c>
      <c r="E59" s="14" t="n">
        <v>1</v>
      </c>
      <c r="F59" s="17" t="n">
        <v>3.85</v>
      </c>
      <c r="G59" s="17" t="n">
        <v>3.85</v>
      </c>
      <c r="H59" s="12" t="n">
        <f aca="false">F59/C59</f>
        <v>1.925</v>
      </c>
      <c r="I59" s="18" t="n">
        <f aca="false">C59*E59</f>
        <v>2</v>
      </c>
      <c r="J59" s="24" t="s">
        <v>77</v>
      </c>
    </row>
    <row r="60" customFormat="false" ht="21.75" hidden="false" customHeight="true" outlineLevel="0" collapsed="false">
      <c r="A60" s="14" t="n">
        <v>53</v>
      </c>
      <c r="B60" s="15" t="s">
        <v>78</v>
      </c>
      <c r="C60" s="14" t="n">
        <v>12</v>
      </c>
      <c r="D60" s="16" t="s">
        <v>19</v>
      </c>
      <c r="E60" s="14" t="n">
        <v>1</v>
      </c>
      <c r="F60" s="17" t="n">
        <v>1.9</v>
      </c>
      <c r="G60" s="17" t="n">
        <v>1.9</v>
      </c>
      <c r="H60" s="12" t="n">
        <f aca="false">F60/C60</f>
        <v>0.158333333333333</v>
      </c>
      <c r="I60" s="18" t="n">
        <f aca="false">C60*E60</f>
        <v>12</v>
      </c>
      <c r="J60" s="15"/>
    </row>
    <row r="61" customFormat="false" ht="21.75" hidden="false" customHeight="true" outlineLevel="0" collapsed="false">
      <c r="A61" s="14" t="n">
        <v>54</v>
      </c>
      <c r="B61" s="15" t="s">
        <v>79</v>
      </c>
      <c r="C61" s="14" t="n">
        <v>12</v>
      </c>
      <c r="D61" s="16" t="s">
        <v>19</v>
      </c>
      <c r="E61" s="14" t="n">
        <v>1</v>
      </c>
      <c r="F61" s="17" t="n">
        <v>1.95</v>
      </c>
      <c r="G61" s="17" t="n">
        <v>1.95</v>
      </c>
      <c r="H61" s="12" t="n">
        <f aca="false">F61/C61</f>
        <v>0.1625</v>
      </c>
      <c r="I61" s="18" t="n">
        <f aca="false">C61*E61</f>
        <v>12</v>
      </c>
      <c r="J61" s="15"/>
    </row>
    <row r="62" customFormat="false" ht="21.75" hidden="false" customHeight="true" outlineLevel="0" collapsed="false">
      <c r="A62" s="14" t="n">
        <v>55</v>
      </c>
      <c r="B62" s="15" t="s">
        <v>80</v>
      </c>
      <c r="C62" s="14" t="n">
        <v>4</v>
      </c>
      <c r="D62" s="16" t="s">
        <v>19</v>
      </c>
      <c r="E62" s="14" t="n">
        <v>1</v>
      </c>
      <c r="F62" s="17" t="n">
        <v>5.25</v>
      </c>
      <c r="G62" s="17" t="n">
        <v>5.25</v>
      </c>
      <c r="H62" s="12" t="n">
        <f aca="false">F62/C62</f>
        <v>1.3125</v>
      </c>
      <c r="I62" s="18" t="n">
        <f aca="false">C62*E62</f>
        <v>4</v>
      </c>
      <c r="J62" s="15"/>
    </row>
    <row r="63" customFormat="false" ht="48" hidden="false" customHeight="true" outlineLevel="0" collapsed="false">
      <c r="A63" s="14" t="n">
        <v>56</v>
      </c>
      <c r="B63" s="15" t="s">
        <v>81</v>
      </c>
      <c r="C63" s="14" t="n">
        <v>6</v>
      </c>
      <c r="D63" s="16" t="s">
        <v>19</v>
      </c>
      <c r="E63" s="14" t="n">
        <v>1</v>
      </c>
      <c r="F63" s="17" t="n">
        <v>6.5</v>
      </c>
      <c r="G63" s="17" t="n">
        <v>6.5</v>
      </c>
      <c r="H63" s="12" t="n">
        <f aca="false">F63/C63</f>
        <v>1.08333333333333</v>
      </c>
      <c r="I63" s="18" t="n">
        <f aca="false">C63*E63</f>
        <v>6</v>
      </c>
      <c r="J63" s="24" t="s">
        <v>82</v>
      </c>
    </row>
    <row r="64" customFormat="false" ht="21.75" hidden="false" customHeight="true" outlineLevel="0" collapsed="false">
      <c r="A64" s="14" t="n">
        <v>57</v>
      </c>
      <c r="B64" s="15" t="s">
        <v>83</v>
      </c>
      <c r="C64" s="14" t="n">
        <v>24</v>
      </c>
      <c r="D64" s="16" t="s">
        <v>19</v>
      </c>
      <c r="E64" s="14" t="n">
        <v>1</v>
      </c>
      <c r="F64" s="17" t="n">
        <v>3.95</v>
      </c>
      <c r="G64" s="17" t="n">
        <v>3.95</v>
      </c>
      <c r="H64" s="12" t="n">
        <f aca="false">F64/C64</f>
        <v>0.164583333333333</v>
      </c>
      <c r="I64" s="18" t="n">
        <f aca="false">C64*E64</f>
        <v>24</v>
      </c>
      <c r="J64" s="15"/>
    </row>
    <row r="65" customFormat="false" ht="21.75" hidden="false" customHeight="true" outlineLevel="0" collapsed="false">
      <c r="A65" s="14" t="n">
        <v>58</v>
      </c>
      <c r="B65" s="15" t="s">
        <v>84</v>
      </c>
      <c r="C65" s="14" t="n">
        <v>36</v>
      </c>
      <c r="D65" s="16" t="s">
        <v>19</v>
      </c>
      <c r="E65" s="14" t="n">
        <v>1</v>
      </c>
      <c r="F65" s="17" t="n">
        <v>4.5</v>
      </c>
      <c r="G65" s="17" t="n">
        <v>4.5</v>
      </c>
      <c r="H65" s="12" t="n">
        <f aca="false">F65/C65</f>
        <v>0.125</v>
      </c>
      <c r="I65" s="18" t="n">
        <f aca="false">C65*E65</f>
        <v>36</v>
      </c>
      <c r="J65" s="15"/>
    </row>
    <row r="66" customFormat="false" ht="21.75" hidden="false" customHeight="true" outlineLevel="0" collapsed="false">
      <c r="A66" s="35" t="n">
        <v>59</v>
      </c>
      <c r="B66" s="36" t="s">
        <v>85</v>
      </c>
      <c r="C66" s="35" t="n">
        <v>5</v>
      </c>
      <c r="D66" s="37" t="s">
        <v>86</v>
      </c>
      <c r="E66" s="35" t="n">
        <v>2</v>
      </c>
      <c r="F66" s="38" t="n">
        <v>0.65</v>
      </c>
      <c r="G66" s="38" t="n">
        <v>1.3</v>
      </c>
      <c r="H66" s="12" t="n">
        <f aca="false">F66/C66</f>
        <v>0.13</v>
      </c>
      <c r="I66" s="39" t="n">
        <f aca="false">C66*E66</f>
        <v>10</v>
      </c>
      <c r="J66" s="36"/>
    </row>
    <row r="67" customFormat="false" ht="21.75" hidden="false" customHeight="true" outlineLevel="0" collapsed="false">
      <c r="A67" s="35" t="n">
        <v>60</v>
      </c>
      <c r="B67" s="36" t="s">
        <v>87</v>
      </c>
      <c r="C67" s="35" t="n">
        <v>5</v>
      </c>
      <c r="D67" s="37" t="s">
        <v>86</v>
      </c>
      <c r="E67" s="35" t="n">
        <v>2</v>
      </c>
      <c r="F67" s="38" t="n">
        <v>0.65</v>
      </c>
      <c r="G67" s="38" t="n">
        <v>1.3</v>
      </c>
      <c r="H67" s="12" t="n">
        <f aca="false">F67/C67</f>
        <v>0.13</v>
      </c>
      <c r="I67" s="39" t="n">
        <f aca="false">C67*E67</f>
        <v>10</v>
      </c>
      <c r="J67" s="36"/>
    </row>
    <row r="68" customFormat="false" ht="21.75" hidden="false" customHeight="true" outlineLevel="0" collapsed="false">
      <c r="A68" s="14" t="n">
        <v>61</v>
      </c>
      <c r="B68" s="15" t="s">
        <v>88</v>
      </c>
      <c r="C68" s="14" t="n">
        <v>12</v>
      </c>
      <c r="D68" s="16" t="s">
        <v>19</v>
      </c>
      <c r="E68" s="14" t="n">
        <v>1</v>
      </c>
      <c r="F68" s="17" t="n">
        <v>2.25</v>
      </c>
      <c r="G68" s="17" t="n">
        <v>2.25</v>
      </c>
      <c r="H68" s="12" t="n">
        <f aca="false">F68/C68</f>
        <v>0.1875</v>
      </c>
      <c r="I68" s="18" t="n">
        <f aca="false">C68*E68</f>
        <v>12</v>
      </c>
      <c r="J68" s="15"/>
    </row>
    <row r="69" customFormat="false" ht="21.75" hidden="false" customHeight="true" outlineLevel="0" collapsed="false">
      <c r="A69" s="30" t="n">
        <v>62</v>
      </c>
      <c r="B69" s="31" t="s">
        <v>89</v>
      </c>
      <c r="C69" s="30" t="n">
        <v>12</v>
      </c>
      <c r="D69" s="32" t="s">
        <v>48</v>
      </c>
      <c r="E69" s="30" t="n">
        <v>1</v>
      </c>
      <c r="F69" s="33" t="n">
        <v>3.25</v>
      </c>
      <c r="G69" s="33" t="n">
        <v>3.25</v>
      </c>
      <c r="H69" s="12" t="n">
        <f aca="false">F69/C69</f>
        <v>0.270833333333333</v>
      </c>
      <c r="I69" s="34" t="n">
        <f aca="false">C69*E69</f>
        <v>12</v>
      </c>
      <c r="J69" s="31"/>
    </row>
    <row r="70" customFormat="false" ht="21.75" hidden="false" customHeight="true" outlineLevel="0" collapsed="false">
      <c r="A70" s="30" t="n">
        <v>63</v>
      </c>
      <c r="B70" s="31" t="s">
        <v>90</v>
      </c>
      <c r="C70" s="30" t="n">
        <v>12</v>
      </c>
      <c r="D70" s="32" t="s">
        <v>48</v>
      </c>
      <c r="E70" s="30" t="n">
        <v>1</v>
      </c>
      <c r="F70" s="33" t="n">
        <v>3.25</v>
      </c>
      <c r="G70" s="33" t="n">
        <v>3.25</v>
      </c>
      <c r="H70" s="12" t="n">
        <f aca="false">F70/C70</f>
        <v>0.270833333333333</v>
      </c>
      <c r="I70" s="34" t="n">
        <f aca="false">C70*E70</f>
        <v>12</v>
      </c>
      <c r="J70" s="31"/>
    </row>
    <row r="71" customFormat="false" ht="21.75" hidden="false" customHeight="true" outlineLevel="0" collapsed="false">
      <c r="A71" s="14" t="n">
        <v>64</v>
      </c>
      <c r="B71" s="15" t="s">
        <v>91</v>
      </c>
      <c r="C71" s="14" t="n">
        <v>30</v>
      </c>
      <c r="D71" s="16" t="s">
        <v>19</v>
      </c>
      <c r="E71" s="14" t="n">
        <v>1</v>
      </c>
      <c r="F71" s="17" t="n">
        <v>6</v>
      </c>
      <c r="G71" s="17" t="n">
        <v>6</v>
      </c>
      <c r="H71" s="12" t="n">
        <f aca="false">F71/C71</f>
        <v>0.2</v>
      </c>
      <c r="I71" s="18" t="n">
        <f aca="false">C71*E71</f>
        <v>30</v>
      </c>
      <c r="J71" s="15"/>
    </row>
    <row r="72" customFormat="false" ht="21.75" hidden="false" customHeight="true" outlineLevel="0" collapsed="false">
      <c r="A72" s="14" t="n">
        <v>65</v>
      </c>
      <c r="B72" s="15" t="s">
        <v>92</v>
      </c>
      <c r="C72" s="14" t="n">
        <v>4</v>
      </c>
      <c r="D72" s="16" t="s">
        <v>19</v>
      </c>
      <c r="E72" s="14" t="n">
        <v>1</v>
      </c>
      <c r="F72" s="17" t="n">
        <v>6.25</v>
      </c>
      <c r="G72" s="17" t="n">
        <v>6.25</v>
      </c>
      <c r="H72" s="12" t="n">
        <f aca="false">F72/C72</f>
        <v>1.5625</v>
      </c>
      <c r="I72" s="18" t="n">
        <f aca="false">C72*E72</f>
        <v>4</v>
      </c>
      <c r="J72" s="15"/>
    </row>
    <row r="73" customFormat="false" ht="21.75" hidden="false" customHeight="true" outlineLevel="0" collapsed="false">
      <c r="A73" s="14" t="n">
        <v>66</v>
      </c>
      <c r="B73" s="15" t="s">
        <v>93</v>
      </c>
      <c r="C73" s="14" t="n">
        <v>24</v>
      </c>
      <c r="D73" s="16" t="s">
        <v>19</v>
      </c>
      <c r="E73" s="14" t="n">
        <v>1</v>
      </c>
      <c r="F73" s="17" t="n">
        <v>5.5</v>
      </c>
      <c r="G73" s="17" t="n">
        <v>5.5</v>
      </c>
      <c r="H73" s="12" t="n">
        <f aca="false">F73/C73</f>
        <v>0.229166666666667</v>
      </c>
      <c r="I73" s="18" t="n">
        <f aca="false">C73*E73</f>
        <v>24</v>
      </c>
      <c r="J73" s="15"/>
    </row>
    <row r="74" customFormat="false" ht="21.75" hidden="false" customHeight="true" outlineLevel="0" collapsed="false">
      <c r="A74" s="14" t="n">
        <v>67</v>
      </c>
      <c r="B74" s="15" t="s">
        <v>94</v>
      </c>
      <c r="C74" s="14" t="n">
        <v>24</v>
      </c>
      <c r="D74" s="16" t="s">
        <v>19</v>
      </c>
      <c r="E74" s="14" t="n">
        <v>1</v>
      </c>
      <c r="F74" s="17" t="n">
        <v>6.25</v>
      </c>
      <c r="G74" s="17" t="n">
        <v>6.25</v>
      </c>
      <c r="H74" s="12" t="n">
        <f aca="false">F74/C74</f>
        <v>0.260416666666667</v>
      </c>
      <c r="I74" s="18" t="n">
        <f aca="false">C74*E74</f>
        <v>24</v>
      </c>
      <c r="J74" s="15"/>
    </row>
    <row r="75" customFormat="false" ht="21.75" hidden="false" customHeight="true" outlineLevel="0" collapsed="false">
      <c r="A75" s="14" t="n">
        <v>68</v>
      </c>
      <c r="B75" s="15" t="s">
        <v>95</v>
      </c>
      <c r="C75" s="14" t="n">
        <v>24</v>
      </c>
      <c r="D75" s="16" t="s">
        <v>19</v>
      </c>
      <c r="E75" s="14" t="n">
        <v>1</v>
      </c>
      <c r="F75" s="17" t="n">
        <v>6.25</v>
      </c>
      <c r="G75" s="17" t="n">
        <v>6.25</v>
      </c>
      <c r="H75" s="12" t="n">
        <f aca="false">F75/C75</f>
        <v>0.260416666666667</v>
      </c>
      <c r="I75" s="18" t="n">
        <f aca="false">C75*E75</f>
        <v>24</v>
      </c>
      <c r="J75" s="15"/>
    </row>
    <row r="76" customFormat="false" ht="21.75" hidden="false" customHeight="true" outlineLevel="0" collapsed="false">
      <c r="A76" s="14" t="n">
        <v>69</v>
      </c>
      <c r="B76" s="15" t="s">
        <v>96</v>
      </c>
      <c r="C76" s="14" t="n">
        <v>24</v>
      </c>
      <c r="D76" s="16" t="s">
        <v>19</v>
      </c>
      <c r="E76" s="14" t="n">
        <v>1</v>
      </c>
      <c r="F76" s="17" t="n">
        <v>5.5</v>
      </c>
      <c r="G76" s="17" t="n">
        <v>5.5</v>
      </c>
      <c r="H76" s="12" t="n">
        <f aca="false">F76/C76</f>
        <v>0.229166666666667</v>
      </c>
      <c r="I76" s="18" t="n">
        <f aca="false">C76*E76</f>
        <v>24</v>
      </c>
      <c r="J76" s="15"/>
    </row>
    <row r="77" customFormat="false" ht="21.75" hidden="false" customHeight="true" outlineLevel="0" collapsed="false">
      <c r="A77" s="14" t="n">
        <v>70</v>
      </c>
      <c r="B77" s="15" t="s">
        <v>97</v>
      </c>
      <c r="C77" s="14" t="n">
        <v>4</v>
      </c>
      <c r="D77" s="16" t="s">
        <v>19</v>
      </c>
      <c r="E77" s="14" t="n">
        <v>1</v>
      </c>
      <c r="F77" s="17" t="n">
        <v>5.5</v>
      </c>
      <c r="G77" s="17" t="n">
        <v>5.5</v>
      </c>
      <c r="H77" s="12" t="n">
        <f aca="false">F77/C77</f>
        <v>1.375</v>
      </c>
      <c r="I77" s="18" t="n">
        <f aca="false">C77*E77</f>
        <v>4</v>
      </c>
      <c r="J77" s="15"/>
    </row>
    <row r="78" customFormat="false" ht="21.75" hidden="false" customHeight="true" outlineLevel="0" collapsed="false">
      <c r="A78" s="14" t="n">
        <v>71</v>
      </c>
      <c r="B78" s="15" t="s">
        <v>98</v>
      </c>
      <c r="C78" s="14" t="n">
        <v>3</v>
      </c>
      <c r="D78" s="16" t="s">
        <v>19</v>
      </c>
      <c r="E78" s="14" t="n">
        <v>1</v>
      </c>
      <c r="F78" s="17" t="n">
        <v>7.5</v>
      </c>
      <c r="G78" s="17" t="n">
        <v>7.5</v>
      </c>
      <c r="H78" s="12" t="n">
        <f aca="false">F78/C78</f>
        <v>2.5</v>
      </c>
      <c r="I78" s="18" t="n">
        <f aca="false">C78*E78</f>
        <v>3</v>
      </c>
      <c r="J78" s="15"/>
    </row>
    <row r="79" customFormat="false" ht="21.75" hidden="false" customHeight="true" outlineLevel="0" collapsed="false">
      <c r="A79" s="14" t="n">
        <v>72</v>
      </c>
      <c r="B79" s="15" t="s">
        <v>99</v>
      </c>
      <c r="C79" s="14" t="n">
        <v>4</v>
      </c>
      <c r="D79" s="16" t="s">
        <v>19</v>
      </c>
      <c r="E79" s="14" t="n">
        <v>1</v>
      </c>
      <c r="F79" s="17" t="n">
        <v>4.25</v>
      </c>
      <c r="G79" s="17" t="n">
        <v>4.25</v>
      </c>
      <c r="H79" s="12" t="n">
        <f aca="false">F79/C79</f>
        <v>1.0625</v>
      </c>
      <c r="I79" s="18" t="n">
        <f aca="false">C79*E79</f>
        <v>4</v>
      </c>
      <c r="J79" s="15"/>
    </row>
    <row r="80" customFormat="false" ht="21.75" hidden="false" customHeight="true" outlineLevel="0" collapsed="false">
      <c r="A80" s="14" t="n">
        <v>73</v>
      </c>
      <c r="B80" s="15" t="s">
        <v>100</v>
      </c>
      <c r="C80" s="14" t="n">
        <v>30</v>
      </c>
      <c r="D80" s="16" t="s">
        <v>19</v>
      </c>
      <c r="E80" s="14" t="n">
        <v>1</v>
      </c>
      <c r="F80" s="17" t="n">
        <v>3.15</v>
      </c>
      <c r="G80" s="17" t="n">
        <v>3.15</v>
      </c>
      <c r="H80" s="12" t="n">
        <f aca="false">F80/C80</f>
        <v>0.105</v>
      </c>
      <c r="I80" s="18" t="n">
        <f aca="false">C80*E80</f>
        <v>30</v>
      </c>
      <c r="J80" s="15"/>
    </row>
    <row r="81" customFormat="false" ht="21.75" hidden="false" customHeight="true" outlineLevel="0" collapsed="false">
      <c r="A81" s="14" t="n">
        <v>74</v>
      </c>
      <c r="B81" s="15" t="s">
        <v>101</v>
      </c>
      <c r="C81" s="14" t="n">
        <v>3</v>
      </c>
      <c r="D81" s="16" t="s">
        <v>19</v>
      </c>
      <c r="E81" s="14" t="n">
        <v>1</v>
      </c>
      <c r="F81" s="17" t="n">
        <v>4.75</v>
      </c>
      <c r="G81" s="17" t="n">
        <v>4.75</v>
      </c>
      <c r="H81" s="12" t="n">
        <f aca="false">F81/C81</f>
        <v>1.58333333333333</v>
      </c>
      <c r="I81" s="18" t="n">
        <f aca="false">C81*E81</f>
        <v>3</v>
      </c>
      <c r="J81" s="15"/>
    </row>
    <row r="82" customFormat="false" ht="21.75" hidden="false" customHeight="true" outlineLevel="0" collapsed="false">
      <c r="A82" s="40" t="n">
        <v>75</v>
      </c>
      <c r="B82" s="41" t="s">
        <v>102</v>
      </c>
      <c r="C82" s="40" t="n">
        <v>2</v>
      </c>
      <c r="D82" s="42" t="s">
        <v>103</v>
      </c>
      <c r="E82" s="40" t="n">
        <v>1</v>
      </c>
      <c r="F82" s="43" t="n">
        <v>2.25</v>
      </c>
      <c r="G82" s="43" t="n">
        <v>2.25</v>
      </c>
      <c r="H82" s="12" t="n">
        <f aca="false">F82/C82</f>
        <v>1.125</v>
      </c>
      <c r="I82" s="44" t="n">
        <f aca="false">C82*E82</f>
        <v>2</v>
      </c>
      <c r="J82" s="41"/>
    </row>
    <row r="83" customFormat="false" ht="21.75" hidden="false" customHeight="true" outlineLevel="0" collapsed="false">
      <c r="A83" s="14" t="n">
        <v>76</v>
      </c>
      <c r="B83" s="15" t="s">
        <v>104</v>
      </c>
      <c r="C83" s="14" t="n">
        <v>4</v>
      </c>
      <c r="D83" s="16" t="s">
        <v>19</v>
      </c>
      <c r="E83" s="14" t="n">
        <v>1</v>
      </c>
      <c r="F83" s="17" t="n">
        <v>4.75</v>
      </c>
      <c r="G83" s="17" t="n">
        <v>4.75</v>
      </c>
      <c r="H83" s="12" t="n">
        <f aca="false">F83/C83</f>
        <v>1.1875</v>
      </c>
      <c r="I83" s="18" t="n">
        <f aca="false">C83*E83</f>
        <v>4</v>
      </c>
      <c r="J83" s="15"/>
    </row>
    <row r="84" customFormat="false" ht="21.75" hidden="false" customHeight="true" outlineLevel="0" collapsed="false">
      <c r="A84" s="45" t="n">
        <v>77</v>
      </c>
      <c r="B84" s="46" t="s">
        <v>105</v>
      </c>
      <c r="C84" s="45" t="n">
        <v>25</v>
      </c>
      <c r="D84" s="47" t="s">
        <v>106</v>
      </c>
      <c r="E84" s="45" t="n">
        <v>1</v>
      </c>
      <c r="F84" s="48" t="n">
        <v>2.25</v>
      </c>
      <c r="G84" s="48" t="n">
        <v>2.25</v>
      </c>
      <c r="H84" s="12" t="n">
        <f aca="false">F84/C84</f>
        <v>0.09</v>
      </c>
      <c r="I84" s="49" t="n">
        <f aca="false">C84*E84</f>
        <v>25</v>
      </c>
      <c r="J84" s="46"/>
    </row>
    <row r="85" customFormat="false" ht="21.75" hidden="false" customHeight="true" outlineLevel="0" collapsed="false">
      <c r="A85" s="45" t="n">
        <v>78</v>
      </c>
      <c r="B85" s="46" t="s">
        <v>107</v>
      </c>
      <c r="C85" s="45" t="n">
        <v>25</v>
      </c>
      <c r="D85" s="47" t="s">
        <v>106</v>
      </c>
      <c r="E85" s="45" t="n">
        <v>2</v>
      </c>
      <c r="F85" s="48" t="n">
        <v>1.625</v>
      </c>
      <c r="G85" s="48" t="n">
        <v>3.25</v>
      </c>
      <c r="H85" s="12" t="n">
        <f aca="false">F85/C85</f>
        <v>0.065</v>
      </c>
      <c r="I85" s="49" t="n">
        <f aca="false">C85*E85</f>
        <v>50</v>
      </c>
      <c r="J85" s="46"/>
    </row>
    <row r="86" customFormat="false" ht="21.75" hidden="false" customHeight="true" outlineLevel="0" collapsed="false">
      <c r="A86" s="14" t="n">
        <v>79</v>
      </c>
      <c r="B86" s="15" t="s">
        <v>108</v>
      </c>
      <c r="C86" s="14" t="n">
        <v>10</v>
      </c>
      <c r="D86" s="16" t="s">
        <v>19</v>
      </c>
      <c r="E86" s="14" t="n">
        <v>1</v>
      </c>
      <c r="F86" s="17" t="n">
        <v>3.5</v>
      </c>
      <c r="G86" s="17" t="n">
        <v>3.5</v>
      </c>
      <c r="H86" s="12" t="n">
        <f aca="false">F86/C86</f>
        <v>0.35</v>
      </c>
      <c r="I86" s="18" t="n">
        <f aca="false">C86*E86</f>
        <v>10</v>
      </c>
      <c r="J86" s="15"/>
    </row>
    <row r="87" customFormat="false" ht="21.75" hidden="false" customHeight="true" outlineLevel="0" collapsed="false">
      <c r="A87" s="45" t="n">
        <v>80</v>
      </c>
      <c r="B87" s="46" t="s">
        <v>109</v>
      </c>
      <c r="C87" s="45" t="n">
        <v>30</v>
      </c>
      <c r="D87" s="47" t="s">
        <v>106</v>
      </c>
      <c r="E87" s="45" t="n">
        <v>1</v>
      </c>
      <c r="F87" s="48" t="n">
        <v>2.15</v>
      </c>
      <c r="G87" s="48" t="n">
        <v>2.15</v>
      </c>
      <c r="H87" s="12" t="n">
        <f aca="false">F87/C87</f>
        <v>0.0716666666666667</v>
      </c>
      <c r="I87" s="49" t="n">
        <f aca="false">C87*E87</f>
        <v>30</v>
      </c>
      <c r="J87" s="46"/>
    </row>
    <row r="88" customFormat="false" ht="48" hidden="false" customHeight="true" outlineLevel="0" collapsed="false">
      <c r="A88" s="40" t="n">
        <v>81</v>
      </c>
      <c r="B88" s="41" t="s">
        <v>110</v>
      </c>
      <c r="C88" s="40" t="n">
        <v>1</v>
      </c>
      <c r="D88" s="42" t="s">
        <v>103</v>
      </c>
      <c r="E88" s="40" t="n">
        <v>1</v>
      </c>
      <c r="F88" s="43" t="n">
        <v>2.75</v>
      </c>
      <c r="G88" s="43" t="n">
        <v>2.75</v>
      </c>
      <c r="H88" s="12" t="n">
        <f aca="false">F88/C88</f>
        <v>2.75</v>
      </c>
      <c r="I88" s="44" t="n">
        <f aca="false">C88*E88</f>
        <v>1</v>
      </c>
      <c r="J88" s="24" t="s">
        <v>111</v>
      </c>
    </row>
    <row r="89" customFormat="false" ht="21.75" hidden="false" customHeight="true" outlineLevel="0" collapsed="false">
      <c r="A89" s="14" t="n">
        <v>82</v>
      </c>
      <c r="B89" s="15" t="s">
        <v>112</v>
      </c>
      <c r="C89" s="14" t="n">
        <v>12</v>
      </c>
      <c r="D89" s="16" t="s">
        <v>19</v>
      </c>
      <c r="E89" s="14" t="n">
        <v>3</v>
      </c>
      <c r="F89" s="17" t="n">
        <v>1</v>
      </c>
      <c r="G89" s="17" t="n">
        <v>3</v>
      </c>
      <c r="H89" s="12" t="n">
        <f aca="false">F89/C89</f>
        <v>0.0833333333333333</v>
      </c>
      <c r="I89" s="18" t="n">
        <f aca="false">C89*E89</f>
        <v>36</v>
      </c>
      <c r="J89" s="15"/>
    </row>
    <row r="90" customFormat="false" ht="21.75" hidden="false" customHeight="true" outlineLevel="0" collapsed="false">
      <c r="A90" s="14" t="n">
        <v>83</v>
      </c>
      <c r="B90" s="15" t="s">
        <v>113</v>
      </c>
      <c r="C90" s="14" t="n">
        <v>4</v>
      </c>
      <c r="D90" s="16" t="s">
        <v>19</v>
      </c>
      <c r="E90" s="14" t="n">
        <v>1</v>
      </c>
      <c r="F90" s="17" t="n">
        <v>3.95</v>
      </c>
      <c r="G90" s="17" t="n">
        <v>3.95</v>
      </c>
      <c r="H90" s="12" t="n">
        <f aca="false">F90/C90</f>
        <v>0.9875</v>
      </c>
      <c r="I90" s="18" t="n">
        <f aca="false">C90*E90</f>
        <v>4</v>
      </c>
      <c r="J90" s="15"/>
    </row>
    <row r="91" customFormat="false" ht="21.75" hidden="false" customHeight="true" outlineLevel="0" collapsed="false">
      <c r="A91" s="14" t="n">
        <v>84</v>
      </c>
      <c r="B91" s="15" t="s">
        <v>114</v>
      </c>
      <c r="C91" s="14" t="n">
        <v>12</v>
      </c>
      <c r="D91" s="16" t="s">
        <v>19</v>
      </c>
      <c r="E91" s="14" t="n">
        <v>2</v>
      </c>
      <c r="F91" s="17" t="n">
        <v>0.8</v>
      </c>
      <c r="G91" s="17" t="n">
        <v>1.6</v>
      </c>
      <c r="H91" s="12" t="n">
        <f aca="false">F91/C91</f>
        <v>0.0666666666666667</v>
      </c>
      <c r="I91" s="18" t="n">
        <f aca="false">C91*E91</f>
        <v>24</v>
      </c>
      <c r="J91" s="15"/>
    </row>
    <row r="92" customFormat="false" ht="21.75" hidden="false" customHeight="true" outlineLevel="0" collapsed="false">
      <c r="A92" s="14" t="n">
        <v>85</v>
      </c>
      <c r="B92" s="15" t="s">
        <v>115</v>
      </c>
      <c r="C92" s="14" t="n">
        <v>24</v>
      </c>
      <c r="D92" s="16" t="s">
        <v>19</v>
      </c>
      <c r="E92" s="14" t="n">
        <v>1</v>
      </c>
      <c r="F92" s="17" t="n">
        <v>1.75</v>
      </c>
      <c r="G92" s="17" t="n">
        <v>1.75</v>
      </c>
      <c r="H92" s="12" t="n">
        <f aca="false">F92/C92</f>
        <v>0.0729166666666667</v>
      </c>
      <c r="I92" s="18" t="n">
        <f aca="false">C92*E92</f>
        <v>24</v>
      </c>
      <c r="J92" s="15"/>
    </row>
    <row r="93" customFormat="false" ht="21.75" hidden="false" customHeight="true" outlineLevel="0" collapsed="false">
      <c r="A93" s="30" t="n">
        <v>86</v>
      </c>
      <c r="B93" s="31" t="s">
        <v>116</v>
      </c>
      <c r="C93" s="30" t="n">
        <v>4</v>
      </c>
      <c r="D93" s="32" t="s">
        <v>48</v>
      </c>
      <c r="E93" s="30" t="n">
        <v>1</v>
      </c>
      <c r="F93" s="33" t="n">
        <v>3.25</v>
      </c>
      <c r="G93" s="33" t="n">
        <v>3.25</v>
      </c>
      <c r="H93" s="12" t="n">
        <f aca="false">F93/C93</f>
        <v>0.8125</v>
      </c>
      <c r="I93" s="34" t="n">
        <f aca="false">C93*E93</f>
        <v>4</v>
      </c>
      <c r="J93" s="31"/>
    </row>
    <row r="94" customFormat="false" ht="25.5" hidden="false" customHeight="true" outlineLevel="0" collapsed="false">
      <c r="A94" s="50" t="s">
        <v>117</v>
      </c>
      <c r="B94" s="50"/>
      <c r="C94" s="50"/>
      <c r="D94" s="50"/>
      <c r="E94" s="51" t="n">
        <f aca="false">SUM(E8:E93)</f>
        <v>141</v>
      </c>
      <c r="F94" s="52"/>
      <c r="G94" s="53" t="n">
        <f aca="false">SUM(G8:G93)</f>
        <v>331.5</v>
      </c>
      <c r="H94" s="52"/>
      <c r="I94" s="54" t="n">
        <f aca="false">SUM(I8:I93)</f>
        <v>1500</v>
      </c>
      <c r="J94" s="52"/>
    </row>
    <row r="96" customFormat="false" ht="36" hidden="false" customHeight="true" outlineLevel="0" collapsed="false">
      <c r="A96" s="5" t="s">
        <v>118</v>
      </c>
      <c r="B96" s="5"/>
      <c r="C96" s="5"/>
      <c r="D96" s="5"/>
      <c r="E96" s="5"/>
      <c r="F96" s="5"/>
      <c r="G96" s="5"/>
      <c r="H96" s="5"/>
      <c r="I96" s="5"/>
      <c r="J96" s="5"/>
    </row>
    <row r="98" customFormat="false" ht="15" hidden="false" customHeight="false" outlineLevel="0" collapsed="false">
      <c r="A98" s="55" t="s">
        <v>119</v>
      </c>
      <c r="B98" s="56" t="s">
        <v>16</v>
      </c>
      <c r="C98" s="57" t="s">
        <v>19</v>
      </c>
      <c r="D98" s="58" t="s">
        <v>39</v>
      </c>
      <c r="E98" s="59" t="s">
        <v>48</v>
      </c>
      <c r="F98" s="60" t="s">
        <v>33</v>
      </c>
      <c r="G98" s="61" t="s">
        <v>86</v>
      </c>
      <c r="H98" s="62" t="s">
        <v>106</v>
      </c>
      <c r="I98" s="63" t="s">
        <v>103</v>
      </c>
    </row>
  </sheetData>
  <autoFilter ref="A7:J93"/>
  <mergeCells count="7">
    <mergeCell ref="A1:J1"/>
    <mergeCell ref="A2:J2"/>
    <mergeCell ref="A3:J3"/>
    <mergeCell ref="A4:J4"/>
    <mergeCell ref="A5:J5"/>
    <mergeCell ref="A94:D94"/>
    <mergeCell ref="A96:J96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H6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8" activeCellId="0" sqref="A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5" min="3" style="0" width="1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64" t="s">
        <v>120</v>
      </c>
      <c r="B1" s="64"/>
      <c r="C1" s="64"/>
      <c r="D1" s="64"/>
      <c r="E1" s="64"/>
      <c r="F1" s="64"/>
      <c r="G1" s="64"/>
      <c r="H1" s="64"/>
    </row>
    <row r="2" customFormat="false" ht="24" hidden="false" customHeight="true" outlineLevel="0" collapsed="false">
      <c r="A2" s="65" t="s">
        <v>121</v>
      </c>
      <c r="B2" s="65"/>
      <c r="C2" s="65"/>
      <c r="D2" s="65"/>
      <c r="E2" s="65"/>
      <c r="F2" s="65"/>
      <c r="G2" s="65"/>
      <c r="H2" s="65"/>
    </row>
    <row r="3" customFormat="false" ht="21.75" hidden="false" customHeight="true" outlineLevel="0" collapsed="false">
      <c r="A3" s="66" t="s">
        <v>122</v>
      </c>
      <c r="B3" s="66"/>
      <c r="C3" s="66"/>
      <c r="D3" s="66"/>
      <c r="E3" s="66"/>
      <c r="F3" s="66"/>
      <c r="G3" s="66"/>
      <c r="H3" s="66"/>
    </row>
    <row r="6" customFormat="false" ht="30" hidden="false" customHeight="true" outlineLevel="0" collapsed="false">
      <c r="A6" s="67" t="s">
        <v>5</v>
      </c>
      <c r="B6" s="67" t="s">
        <v>6</v>
      </c>
      <c r="C6" s="67" t="s">
        <v>8</v>
      </c>
      <c r="D6" s="67" t="s">
        <v>123</v>
      </c>
      <c r="E6" s="67" t="s">
        <v>9</v>
      </c>
      <c r="F6" s="67" t="s">
        <v>124</v>
      </c>
      <c r="G6" s="7" t="s">
        <v>125</v>
      </c>
      <c r="H6" s="67" t="s">
        <v>14</v>
      </c>
    </row>
    <row r="7" customFormat="false" ht="21.75" hidden="false" customHeight="true" outlineLevel="0" collapsed="false">
      <c r="A7" s="8" t="n">
        <v>1</v>
      </c>
      <c r="B7" s="9" t="s">
        <v>15</v>
      </c>
      <c r="C7" s="10" t="s">
        <v>16</v>
      </c>
      <c r="D7" s="8" t="n">
        <v>40</v>
      </c>
      <c r="E7" s="8" t="n">
        <v>1</v>
      </c>
      <c r="F7" s="11" t="n">
        <v>1.4</v>
      </c>
      <c r="G7" s="68" t="n">
        <f aca="false">F7/D7</f>
        <v>0.035</v>
      </c>
      <c r="H7" s="69"/>
    </row>
    <row r="8" customFormat="false" ht="21.75" hidden="false" customHeight="true" outlineLevel="0" collapsed="false">
      <c r="A8" s="8" t="n">
        <v>2</v>
      </c>
      <c r="B8" s="9" t="s">
        <v>17</v>
      </c>
      <c r="C8" s="10" t="s">
        <v>16</v>
      </c>
      <c r="D8" s="8" t="n">
        <v>40</v>
      </c>
      <c r="E8" s="8" t="n">
        <v>1</v>
      </c>
      <c r="F8" s="11" t="n">
        <v>1.4</v>
      </c>
      <c r="G8" s="68" t="n">
        <f aca="false">F8/D8</f>
        <v>0.035</v>
      </c>
      <c r="H8" s="69"/>
    </row>
    <row r="9" customFormat="false" ht="21.75" hidden="false" customHeight="true" outlineLevel="0" collapsed="false">
      <c r="A9" s="14" t="n">
        <v>10</v>
      </c>
      <c r="B9" s="15" t="s">
        <v>26</v>
      </c>
      <c r="C9" s="16" t="s">
        <v>19</v>
      </c>
      <c r="D9" s="14" t="n">
        <v>24</v>
      </c>
      <c r="E9" s="14" t="n">
        <v>3</v>
      </c>
      <c r="F9" s="17" t="n">
        <v>1.1</v>
      </c>
      <c r="G9" s="68" t="n">
        <f aca="false">F9/D9</f>
        <v>0.0458333333333333</v>
      </c>
      <c r="H9" s="70"/>
    </row>
    <row r="10" customFormat="false" ht="21.75" hidden="false" customHeight="true" outlineLevel="0" collapsed="false">
      <c r="A10" s="14" t="n">
        <v>22</v>
      </c>
      <c r="B10" s="15" t="s">
        <v>42</v>
      </c>
      <c r="C10" s="16" t="s">
        <v>19</v>
      </c>
      <c r="D10" s="14" t="n">
        <v>30</v>
      </c>
      <c r="E10" s="14" t="n">
        <v>1</v>
      </c>
      <c r="F10" s="17" t="n">
        <v>1.4</v>
      </c>
      <c r="G10" s="68" t="n">
        <f aca="false">F10/D10</f>
        <v>0.0466666666666667</v>
      </c>
      <c r="H10" s="70"/>
    </row>
    <row r="11" customFormat="false" ht="21.75" hidden="false" customHeight="true" outlineLevel="0" collapsed="false">
      <c r="A11" s="14" t="n">
        <v>19</v>
      </c>
      <c r="B11" s="15" t="s">
        <v>37</v>
      </c>
      <c r="C11" s="16" t="s">
        <v>19</v>
      </c>
      <c r="D11" s="14" t="n">
        <v>36</v>
      </c>
      <c r="E11" s="14" t="n">
        <v>1</v>
      </c>
      <c r="F11" s="17" t="n">
        <v>1.75</v>
      </c>
      <c r="G11" s="68" t="n">
        <f aca="false">F11/D11</f>
        <v>0.0486111111111111</v>
      </c>
      <c r="H11" s="70"/>
    </row>
    <row r="12" customFormat="false" ht="21.75" hidden="false" customHeight="true" outlineLevel="0" collapsed="false">
      <c r="A12" s="14" t="n">
        <v>84</v>
      </c>
      <c r="B12" s="15" t="s">
        <v>114</v>
      </c>
      <c r="C12" s="16" t="s">
        <v>19</v>
      </c>
      <c r="D12" s="14" t="n">
        <v>12</v>
      </c>
      <c r="E12" s="14" t="n">
        <v>2</v>
      </c>
      <c r="F12" s="17" t="n">
        <v>0.8</v>
      </c>
      <c r="G12" s="68" t="n">
        <f aca="false">F12/D12</f>
        <v>0.0666666666666667</v>
      </c>
      <c r="H12" s="70"/>
    </row>
    <row r="13" customFormat="false" ht="21.75" hidden="false" customHeight="true" outlineLevel="0" collapsed="false">
      <c r="A13" s="14" t="n">
        <v>85</v>
      </c>
      <c r="B13" s="15" t="s">
        <v>115</v>
      </c>
      <c r="C13" s="16" t="s">
        <v>19</v>
      </c>
      <c r="D13" s="14" t="n">
        <v>24</v>
      </c>
      <c r="E13" s="14" t="n">
        <v>1</v>
      </c>
      <c r="F13" s="17" t="n">
        <v>1.75</v>
      </c>
      <c r="G13" s="68" t="n">
        <f aca="false">F13/D13</f>
        <v>0.0729166666666667</v>
      </c>
      <c r="H13" s="70"/>
    </row>
    <row r="14" customFormat="false" ht="21.75" hidden="false" customHeight="true" outlineLevel="0" collapsed="false">
      <c r="A14" s="14" t="n">
        <v>11</v>
      </c>
      <c r="B14" s="15" t="s">
        <v>27</v>
      </c>
      <c r="C14" s="16" t="s">
        <v>19</v>
      </c>
      <c r="D14" s="14" t="n">
        <v>12</v>
      </c>
      <c r="E14" s="14" t="n">
        <v>1</v>
      </c>
      <c r="F14" s="17" t="n">
        <v>0.95</v>
      </c>
      <c r="G14" s="68" t="n">
        <f aca="false">F14/D14</f>
        <v>0.0791666666666667</v>
      </c>
      <c r="H14" s="70"/>
    </row>
    <row r="15" customFormat="false" ht="21.75" hidden="false" customHeight="true" outlineLevel="0" collapsed="false">
      <c r="A15" s="14" t="n">
        <v>3</v>
      </c>
      <c r="B15" s="15" t="s">
        <v>18</v>
      </c>
      <c r="C15" s="16" t="s">
        <v>19</v>
      </c>
      <c r="D15" s="14" t="n">
        <v>24</v>
      </c>
      <c r="E15" s="14" t="n">
        <v>1</v>
      </c>
      <c r="F15" s="17" t="n">
        <v>1.95</v>
      </c>
      <c r="G15" s="68" t="n">
        <f aca="false">F15/D15</f>
        <v>0.08125</v>
      </c>
      <c r="H15" s="70"/>
    </row>
    <row r="16" customFormat="false" ht="21.75" hidden="false" customHeight="true" outlineLevel="0" collapsed="false">
      <c r="A16" s="14" t="n">
        <v>82</v>
      </c>
      <c r="B16" s="15" t="s">
        <v>112</v>
      </c>
      <c r="C16" s="16" t="s">
        <v>19</v>
      </c>
      <c r="D16" s="14" t="n">
        <v>12</v>
      </c>
      <c r="E16" s="14" t="n">
        <v>3</v>
      </c>
      <c r="F16" s="17" t="n">
        <v>1</v>
      </c>
      <c r="G16" s="68" t="n">
        <f aca="false">F16/D16</f>
        <v>0.0833333333333333</v>
      </c>
      <c r="H16" s="70"/>
    </row>
    <row r="17" customFormat="false" ht="21.75" hidden="false" customHeight="true" outlineLevel="0" collapsed="false">
      <c r="A17" s="14" t="n">
        <v>38</v>
      </c>
      <c r="B17" s="15" t="s">
        <v>59</v>
      </c>
      <c r="C17" s="16" t="s">
        <v>19</v>
      </c>
      <c r="D17" s="14" t="n">
        <v>30</v>
      </c>
      <c r="E17" s="14" t="n">
        <v>1</v>
      </c>
      <c r="F17" s="17" t="n">
        <v>2.65</v>
      </c>
      <c r="G17" s="68" t="n">
        <f aca="false">F17/D17</f>
        <v>0.0883333333333333</v>
      </c>
      <c r="H17" s="70"/>
    </row>
    <row r="18" customFormat="false" ht="21.75" hidden="false" customHeight="true" outlineLevel="0" collapsed="false">
      <c r="A18" s="14" t="n">
        <v>6</v>
      </c>
      <c r="B18" s="15" t="s">
        <v>22</v>
      </c>
      <c r="C18" s="16" t="s">
        <v>19</v>
      </c>
      <c r="D18" s="14" t="n">
        <v>12</v>
      </c>
      <c r="E18" s="14" t="n">
        <v>1</v>
      </c>
      <c r="F18" s="17" t="n">
        <v>1.1</v>
      </c>
      <c r="G18" s="68" t="n">
        <f aca="false">F18/D18</f>
        <v>0.0916666666666667</v>
      </c>
      <c r="H18" s="70"/>
    </row>
    <row r="19" customFormat="false" ht="21.75" hidden="false" customHeight="true" outlineLevel="0" collapsed="false">
      <c r="A19" s="14" t="n">
        <v>15</v>
      </c>
      <c r="B19" s="15" t="s">
        <v>31</v>
      </c>
      <c r="C19" s="16" t="s">
        <v>19</v>
      </c>
      <c r="D19" s="14" t="n">
        <v>30</v>
      </c>
      <c r="E19" s="14" t="n">
        <v>1</v>
      </c>
      <c r="F19" s="17" t="n">
        <v>3</v>
      </c>
      <c r="G19" s="68" t="n">
        <f aca="false">F19/D19</f>
        <v>0.1</v>
      </c>
      <c r="H19" s="70"/>
    </row>
    <row r="20" customFormat="false" ht="21.75" hidden="false" customHeight="true" outlineLevel="0" collapsed="false">
      <c r="A20" s="14" t="n">
        <v>73</v>
      </c>
      <c r="B20" s="15" t="s">
        <v>100</v>
      </c>
      <c r="C20" s="16" t="s">
        <v>19</v>
      </c>
      <c r="D20" s="14" t="n">
        <v>30</v>
      </c>
      <c r="E20" s="14" t="n">
        <v>1</v>
      </c>
      <c r="F20" s="17" t="n">
        <v>3.15</v>
      </c>
      <c r="G20" s="68" t="n">
        <f aca="false">F20/D20</f>
        <v>0.105</v>
      </c>
      <c r="H20" s="70"/>
    </row>
    <row r="21" customFormat="false" ht="21.75" hidden="false" customHeight="true" outlineLevel="0" collapsed="false">
      <c r="A21" s="14" t="n">
        <v>41</v>
      </c>
      <c r="B21" s="15" t="s">
        <v>62</v>
      </c>
      <c r="C21" s="16" t="s">
        <v>19</v>
      </c>
      <c r="D21" s="14" t="n">
        <v>50</v>
      </c>
      <c r="E21" s="14" t="n">
        <v>1</v>
      </c>
      <c r="F21" s="17" t="n">
        <v>5.5</v>
      </c>
      <c r="G21" s="68" t="n">
        <f aca="false">F21/D21</f>
        <v>0.11</v>
      </c>
      <c r="H21" s="70"/>
    </row>
    <row r="22" customFormat="false" ht="21.75" hidden="false" customHeight="true" outlineLevel="0" collapsed="false">
      <c r="A22" s="14" t="n">
        <v>17</v>
      </c>
      <c r="B22" s="15" t="s">
        <v>35</v>
      </c>
      <c r="C22" s="16" t="s">
        <v>19</v>
      </c>
      <c r="D22" s="14" t="n">
        <v>24</v>
      </c>
      <c r="E22" s="14" t="n">
        <v>1</v>
      </c>
      <c r="F22" s="17" t="n">
        <v>2.75</v>
      </c>
      <c r="G22" s="68" t="n">
        <f aca="false">F22/D22</f>
        <v>0.114583333333333</v>
      </c>
      <c r="H22" s="70"/>
    </row>
    <row r="23" customFormat="false" ht="21.75" hidden="false" customHeight="true" outlineLevel="0" collapsed="false">
      <c r="A23" s="14" t="n">
        <v>42</v>
      </c>
      <c r="B23" s="15" t="s">
        <v>63</v>
      </c>
      <c r="C23" s="16" t="s">
        <v>19</v>
      </c>
      <c r="D23" s="14" t="n">
        <v>45</v>
      </c>
      <c r="E23" s="14" t="n">
        <v>1</v>
      </c>
      <c r="F23" s="17" t="n">
        <v>5.5</v>
      </c>
      <c r="G23" s="68" t="n">
        <f aca="false">F23/D23</f>
        <v>0.122222222222222</v>
      </c>
      <c r="H23" s="70"/>
    </row>
    <row r="24" customFormat="false" ht="21.75" hidden="false" customHeight="true" outlineLevel="0" collapsed="false">
      <c r="A24" s="14" t="n">
        <v>31</v>
      </c>
      <c r="B24" s="15" t="s">
        <v>52</v>
      </c>
      <c r="C24" s="16" t="s">
        <v>19</v>
      </c>
      <c r="D24" s="14" t="n">
        <v>24</v>
      </c>
      <c r="E24" s="14" t="n">
        <v>1</v>
      </c>
      <c r="F24" s="17" t="n">
        <v>3</v>
      </c>
      <c r="G24" s="68" t="n">
        <f aca="false">F24/D24</f>
        <v>0.125</v>
      </c>
      <c r="H24" s="70"/>
    </row>
    <row r="25" customFormat="false" ht="21.75" hidden="false" customHeight="true" outlineLevel="0" collapsed="false">
      <c r="A25" s="14" t="n">
        <v>58</v>
      </c>
      <c r="B25" s="15" t="s">
        <v>84</v>
      </c>
      <c r="C25" s="16" t="s">
        <v>19</v>
      </c>
      <c r="D25" s="14" t="n">
        <v>36</v>
      </c>
      <c r="E25" s="14" t="n">
        <v>1</v>
      </c>
      <c r="F25" s="17" t="n">
        <v>4.5</v>
      </c>
      <c r="G25" s="68" t="n">
        <f aca="false">F25/D25</f>
        <v>0.125</v>
      </c>
      <c r="H25" s="70"/>
    </row>
    <row r="26" customFormat="false" ht="21.75" hidden="false" customHeight="true" outlineLevel="0" collapsed="false">
      <c r="A26" s="14" t="n">
        <v>7</v>
      </c>
      <c r="B26" s="15" t="s">
        <v>23</v>
      </c>
      <c r="C26" s="16" t="s">
        <v>19</v>
      </c>
      <c r="D26" s="14" t="n">
        <v>10</v>
      </c>
      <c r="E26" s="14" t="n">
        <v>3</v>
      </c>
      <c r="F26" s="17" t="n">
        <v>1.5</v>
      </c>
      <c r="G26" s="68" t="n">
        <f aca="false">F26/D26</f>
        <v>0.15</v>
      </c>
      <c r="H26" s="70"/>
    </row>
    <row r="27" customFormat="false" ht="21.75" hidden="false" customHeight="true" outlineLevel="0" collapsed="false">
      <c r="A27" s="14" t="n">
        <v>53</v>
      </c>
      <c r="B27" s="15" t="s">
        <v>78</v>
      </c>
      <c r="C27" s="16" t="s">
        <v>19</v>
      </c>
      <c r="D27" s="14" t="n">
        <v>12</v>
      </c>
      <c r="E27" s="14" t="n">
        <v>1</v>
      </c>
      <c r="F27" s="17" t="n">
        <v>1.9</v>
      </c>
      <c r="G27" s="68" t="n">
        <f aca="false">F27/D27</f>
        <v>0.158333333333333</v>
      </c>
      <c r="H27" s="70"/>
    </row>
    <row r="28" customFormat="false" ht="21.75" hidden="false" customHeight="true" outlineLevel="0" collapsed="false">
      <c r="A28" s="14" t="n">
        <v>54</v>
      </c>
      <c r="B28" s="15" t="s">
        <v>79</v>
      </c>
      <c r="C28" s="16" t="s">
        <v>19</v>
      </c>
      <c r="D28" s="14" t="n">
        <v>12</v>
      </c>
      <c r="E28" s="14" t="n">
        <v>1</v>
      </c>
      <c r="F28" s="17" t="n">
        <v>1.95</v>
      </c>
      <c r="G28" s="68" t="n">
        <f aca="false">F28/D28</f>
        <v>0.1625</v>
      </c>
      <c r="H28" s="70"/>
    </row>
    <row r="29" customFormat="false" ht="21.75" hidden="false" customHeight="true" outlineLevel="0" collapsed="false">
      <c r="A29" s="14" t="n">
        <v>57</v>
      </c>
      <c r="B29" s="15" t="s">
        <v>83</v>
      </c>
      <c r="C29" s="16" t="s">
        <v>19</v>
      </c>
      <c r="D29" s="14" t="n">
        <v>24</v>
      </c>
      <c r="E29" s="14" t="n">
        <v>1</v>
      </c>
      <c r="F29" s="17" t="n">
        <v>3.95</v>
      </c>
      <c r="G29" s="68" t="n">
        <f aca="false">F29/D29</f>
        <v>0.164583333333333</v>
      </c>
      <c r="H29" s="70"/>
    </row>
    <row r="30" customFormat="false" ht="21.75" hidden="false" customHeight="true" outlineLevel="0" collapsed="false">
      <c r="A30" s="14" t="n">
        <v>24</v>
      </c>
      <c r="B30" s="15" t="s">
        <v>44</v>
      </c>
      <c r="C30" s="16" t="s">
        <v>19</v>
      </c>
      <c r="D30" s="14" t="n">
        <v>24</v>
      </c>
      <c r="E30" s="14" t="n">
        <v>1</v>
      </c>
      <c r="F30" s="17" t="n">
        <v>4.25</v>
      </c>
      <c r="G30" s="68" t="n">
        <f aca="false">F30/D30</f>
        <v>0.177083333333333</v>
      </c>
      <c r="H30" s="70"/>
    </row>
    <row r="31" customFormat="false" ht="21.75" hidden="false" customHeight="true" outlineLevel="0" collapsed="false">
      <c r="A31" s="14" t="n">
        <v>61</v>
      </c>
      <c r="B31" s="15" t="s">
        <v>88</v>
      </c>
      <c r="C31" s="16" t="s">
        <v>19</v>
      </c>
      <c r="D31" s="14" t="n">
        <v>12</v>
      </c>
      <c r="E31" s="14" t="n">
        <v>1</v>
      </c>
      <c r="F31" s="17" t="n">
        <v>2.25</v>
      </c>
      <c r="G31" s="68" t="n">
        <f aca="false">F31/D31</f>
        <v>0.1875</v>
      </c>
      <c r="H31" s="70"/>
    </row>
    <row r="32" customFormat="false" ht="21.75" hidden="false" customHeight="true" outlineLevel="0" collapsed="false">
      <c r="A32" s="14" t="n">
        <v>12</v>
      </c>
      <c r="B32" s="15" t="s">
        <v>28</v>
      </c>
      <c r="C32" s="16" t="s">
        <v>19</v>
      </c>
      <c r="D32" s="14" t="n">
        <v>12</v>
      </c>
      <c r="E32" s="14" t="n">
        <v>1</v>
      </c>
      <c r="F32" s="17" t="n">
        <v>2.35</v>
      </c>
      <c r="G32" s="68" t="n">
        <f aca="false">F32/D32</f>
        <v>0.195833333333333</v>
      </c>
      <c r="H32" s="70"/>
    </row>
    <row r="33" customFormat="false" ht="21.75" hidden="false" customHeight="true" outlineLevel="0" collapsed="false">
      <c r="A33" s="14" t="n">
        <v>13</v>
      </c>
      <c r="B33" s="15" t="s">
        <v>29</v>
      </c>
      <c r="C33" s="16" t="s">
        <v>19</v>
      </c>
      <c r="D33" s="14" t="n">
        <v>12</v>
      </c>
      <c r="E33" s="14" t="n">
        <v>1</v>
      </c>
      <c r="F33" s="17" t="n">
        <v>2.35</v>
      </c>
      <c r="G33" s="68" t="n">
        <f aca="false">F33/D33</f>
        <v>0.195833333333333</v>
      </c>
      <c r="H33" s="70"/>
    </row>
    <row r="34" customFormat="false" ht="21.75" hidden="false" customHeight="true" outlineLevel="0" collapsed="false">
      <c r="A34" s="14" t="n">
        <v>64</v>
      </c>
      <c r="B34" s="15" t="s">
        <v>91</v>
      </c>
      <c r="C34" s="16" t="s">
        <v>19</v>
      </c>
      <c r="D34" s="14" t="n">
        <v>30</v>
      </c>
      <c r="E34" s="14" t="n">
        <v>1</v>
      </c>
      <c r="F34" s="17" t="n">
        <v>6</v>
      </c>
      <c r="G34" s="68" t="n">
        <f aca="false">F34/D34</f>
        <v>0.2</v>
      </c>
      <c r="H34" s="70"/>
    </row>
    <row r="35" customFormat="false" ht="21.75" hidden="false" customHeight="true" outlineLevel="0" collapsed="false">
      <c r="A35" s="14" t="n">
        <v>44</v>
      </c>
      <c r="B35" s="15" t="s">
        <v>65</v>
      </c>
      <c r="C35" s="16" t="s">
        <v>19</v>
      </c>
      <c r="D35" s="14" t="n">
        <v>25</v>
      </c>
      <c r="E35" s="14" t="n">
        <v>1</v>
      </c>
      <c r="F35" s="17" t="n">
        <v>5.25</v>
      </c>
      <c r="G35" s="68" t="n">
        <f aca="false">F35/D35</f>
        <v>0.21</v>
      </c>
      <c r="H35" s="70"/>
    </row>
    <row r="36" customFormat="false" ht="21.75" hidden="false" customHeight="true" outlineLevel="0" collapsed="false">
      <c r="A36" s="14" t="n">
        <v>23</v>
      </c>
      <c r="B36" s="15" t="s">
        <v>43</v>
      </c>
      <c r="C36" s="16" t="s">
        <v>19</v>
      </c>
      <c r="D36" s="14" t="n">
        <v>36</v>
      </c>
      <c r="E36" s="14" t="n">
        <v>1</v>
      </c>
      <c r="F36" s="17" t="n">
        <v>7.95</v>
      </c>
      <c r="G36" s="68" t="n">
        <f aca="false">F36/D36</f>
        <v>0.220833333333333</v>
      </c>
      <c r="H36" s="70"/>
    </row>
    <row r="37" customFormat="false" ht="21.75" hidden="false" customHeight="true" outlineLevel="0" collapsed="false">
      <c r="A37" s="14" t="n">
        <v>18</v>
      </c>
      <c r="B37" s="15" t="s">
        <v>36</v>
      </c>
      <c r="C37" s="16" t="s">
        <v>19</v>
      </c>
      <c r="D37" s="14" t="n">
        <v>24</v>
      </c>
      <c r="E37" s="14" t="n">
        <v>1</v>
      </c>
      <c r="F37" s="17" t="n">
        <v>5.5</v>
      </c>
      <c r="G37" s="68" t="n">
        <f aca="false">F37/D37</f>
        <v>0.229166666666667</v>
      </c>
      <c r="H37" s="70"/>
    </row>
    <row r="38" customFormat="false" ht="21.75" hidden="false" customHeight="true" outlineLevel="0" collapsed="false">
      <c r="A38" s="14" t="n">
        <v>66</v>
      </c>
      <c r="B38" s="15" t="s">
        <v>93</v>
      </c>
      <c r="C38" s="16" t="s">
        <v>19</v>
      </c>
      <c r="D38" s="14" t="n">
        <v>24</v>
      </c>
      <c r="E38" s="14" t="n">
        <v>1</v>
      </c>
      <c r="F38" s="17" t="n">
        <v>5.5</v>
      </c>
      <c r="G38" s="68" t="n">
        <f aca="false">F38/D38</f>
        <v>0.229166666666667</v>
      </c>
      <c r="H38" s="70"/>
    </row>
    <row r="39" customFormat="false" ht="21.75" hidden="false" customHeight="true" outlineLevel="0" collapsed="false">
      <c r="A39" s="14" t="n">
        <v>69</v>
      </c>
      <c r="B39" s="15" t="s">
        <v>96</v>
      </c>
      <c r="C39" s="16" t="s">
        <v>19</v>
      </c>
      <c r="D39" s="14" t="n">
        <v>24</v>
      </c>
      <c r="E39" s="14" t="n">
        <v>1</v>
      </c>
      <c r="F39" s="17" t="n">
        <v>5.5</v>
      </c>
      <c r="G39" s="68" t="n">
        <f aca="false">F39/D39</f>
        <v>0.229166666666667</v>
      </c>
      <c r="H39" s="70"/>
    </row>
    <row r="40" customFormat="false" ht="21.75" hidden="false" customHeight="true" outlineLevel="0" collapsed="false">
      <c r="A40" s="14" t="n">
        <v>40</v>
      </c>
      <c r="B40" s="15" t="s">
        <v>61</v>
      </c>
      <c r="C40" s="16" t="s">
        <v>19</v>
      </c>
      <c r="D40" s="14" t="n">
        <v>25</v>
      </c>
      <c r="E40" s="14" t="n">
        <v>1</v>
      </c>
      <c r="F40" s="17" t="n">
        <v>5.75</v>
      </c>
      <c r="G40" s="68" t="n">
        <f aca="false">F40/D40</f>
        <v>0.23</v>
      </c>
      <c r="H40" s="70"/>
    </row>
    <row r="41" customFormat="false" ht="21.75" hidden="false" customHeight="true" outlineLevel="0" collapsed="false">
      <c r="A41" s="14" t="n">
        <v>35</v>
      </c>
      <c r="B41" s="15" t="s">
        <v>56</v>
      </c>
      <c r="C41" s="16" t="s">
        <v>19</v>
      </c>
      <c r="D41" s="14" t="n">
        <v>10</v>
      </c>
      <c r="E41" s="14" t="n">
        <v>1</v>
      </c>
      <c r="F41" s="17" t="n">
        <v>2.4</v>
      </c>
      <c r="G41" s="68" t="n">
        <f aca="false">F41/D41</f>
        <v>0.24</v>
      </c>
      <c r="H41" s="70"/>
    </row>
    <row r="42" customFormat="false" ht="21.75" hidden="false" customHeight="true" outlineLevel="0" collapsed="false">
      <c r="A42" s="14" t="n">
        <v>36</v>
      </c>
      <c r="B42" s="15" t="s">
        <v>57</v>
      </c>
      <c r="C42" s="16" t="s">
        <v>19</v>
      </c>
      <c r="D42" s="14" t="n">
        <v>10</v>
      </c>
      <c r="E42" s="14" t="n">
        <v>1</v>
      </c>
      <c r="F42" s="17" t="n">
        <v>2.4</v>
      </c>
      <c r="G42" s="68" t="n">
        <f aca="false">F42/D42</f>
        <v>0.24</v>
      </c>
      <c r="H42" s="70"/>
    </row>
    <row r="43" customFormat="false" ht="21.75" hidden="false" customHeight="true" outlineLevel="0" collapsed="false">
      <c r="A43" s="14" t="n">
        <v>37</v>
      </c>
      <c r="B43" s="15" t="s">
        <v>58</v>
      </c>
      <c r="C43" s="16" t="s">
        <v>19</v>
      </c>
      <c r="D43" s="14" t="n">
        <v>10</v>
      </c>
      <c r="E43" s="14" t="n">
        <v>1</v>
      </c>
      <c r="F43" s="17" t="n">
        <v>2.4</v>
      </c>
      <c r="G43" s="68" t="n">
        <f aca="false">F43/D43</f>
        <v>0.24</v>
      </c>
      <c r="H43" s="70"/>
    </row>
    <row r="44" customFormat="false" ht="21.75" hidden="false" customHeight="true" outlineLevel="0" collapsed="false">
      <c r="A44" s="14" t="n">
        <v>67</v>
      </c>
      <c r="B44" s="15" t="s">
        <v>94</v>
      </c>
      <c r="C44" s="16" t="s">
        <v>19</v>
      </c>
      <c r="D44" s="14" t="n">
        <v>24</v>
      </c>
      <c r="E44" s="14" t="n">
        <v>1</v>
      </c>
      <c r="F44" s="17" t="n">
        <v>6.25</v>
      </c>
      <c r="G44" s="68" t="n">
        <f aca="false">F44/D44</f>
        <v>0.260416666666667</v>
      </c>
      <c r="H44" s="70"/>
    </row>
    <row r="45" customFormat="false" ht="21.75" hidden="false" customHeight="true" outlineLevel="0" collapsed="false">
      <c r="A45" s="14" t="n">
        <v>68</v>
      </c>
      <c r="B45" s="15" t="s">
        <v>95</v>
      </c>
      <c r="C45" s="16" t="s">
        <v>19</v>
      </c>
      <c r="D45" s="14" t="n">
        <v>24</v>
      </c>
      <c r="E45" s="14" t="n">
        <v>1</v>
      </c>
      <c r="F45" s="17" t="n">
        <v>6.25</v>
      </c>
      <c r="G45" s="68" t="n">
        <f aca="false">F45/D45</f>
        <v>0.260416666666667</v>
      </c>
      <c r="H45" s="70"/>
    </row>
    <row r="46" customFormat="false" ht="21.75" hidden="false" customHeight="true" outlineLevel="0" collapsed="false">
      <c r="A46" s="14" t="n">
        <v>43</v>
      </c>
      <c r="B46" s="15" t="s">
        <v>64</v>
      </c>
      <c r="C46" s="16" t="s">
        <v>19</v>
      </c>
      <c r="D46" s="14" t="n">
        <v>48</v>
      </c>
      <c r="E46" s="14" t="n">
        <v>1</v>
      </c>
      <c r="F46" s="17" t="n">
        <v>12.75</v>
      </c>
      <c r="G46" s="68" t="n">
        <f aca="false">F46/D46</f>
        <v>0.265625</v>
      </c>
      <c r="H46" s="70"/>
    </row>
    <row r="47" customFormat="false" ht="21.75" hidden="false" customHeight="true" outlineLevel="0" collapsed="false">
      <c r="A47" s="14" t="n">
        <v>4</v>
      </c>
      <c r="B47" s="15" t="s">
        <v>20</v>
      </c>
      <c r="C47" s="16" t="s">
        <v>19</v>
      </c>
      <c r="D47" s="14" t="n">
        <v>12</v>
      </c>
      <c r="E47" s="14" t="n">
        <v>1</v>
      </c>
      <c r="F47" s="17" t="n">
        <v>3.5</v>
      </c>
      <c r="G47" s="68" t="n">
        <f aca="false">F47/D47</f>
        <v>0.291666666666667</v>
      </c>
      <c r="H47" s="70"/>
    </row>
    <row r="48" customFormat="false" ht="21.75" hidden="false" customHeight="true" outlineLevel="0" collapsed="false">
      <c r="A48" s="14" t="n">
        <v>5</v>
      </c>
      <c r="B48" s="15" t="s">
        <v>21</v>
      </c>
      <c r="C48" s="16" t="s">
        <v>19</v>
      </c>
      <c r="D48" s="14" t="n">
        <v>12</v>
      </c>
      <c r="E48" s="14" t="n">
        <v>1</v>
      </c>
      <c r="F48" s="17" t="n">
        <v>3.5</v>
      </c>
      <c r="G48" s="68" t="n">
        <f aca="false">F48/D48</f>
        <v>0.291666666666667</v>
      </c>
      <c r="H48" s="70"/>
    </row>
    <row r="49" customFormat="false" ht="21.75" hidden="false" customHeight="true" outlineLevel="0" collapsed="false">
      <c r="A49" s="14" t="n">
        <v>79</v>
      </c>
      <c r="B49" s="15" t="s">
        <v>108</v>
      </c>
      <c r="C49" s="16" t="s">
        <v>19</v>
      </c>
      <c r="D49" s="14" t="n">
        <v>10</v>
      </c>
      <c r="E49" s="14" t="n">
        <v>1</v>
      </c>
      <c r="F49" s="17" t="n">
        <v>3.5</v>
      </c>
      <c r="G49" s="68" t="n">
        <f aca="false">F49/D49</f>
        <v>0.35</v>
      </c>
      <c r="H49" s="70"/>
    </row>
    <row r="50" customFormat="false" ht="21.75" hidden="false" customHeight="true" outlineLevel="0" collapsed="false">
      <c r="A50" s="14" t="n">
        <v>8</v>
      </c>
      <c r="B50" s="15" t="s">
        <v>24</v>
      </c>
      <c r="C50" s="16" t="s">
        <v>19</v>
      </c>
      <c r="D50" s="14" t="n">
        <v>11</v>
      </c>
      <c r="E50" s="14" t="n">
        <v>1</v>
      </c>
      <c r="F50" s="17" t="n">
        <v>4.5</v>
      </c>
      <c r="G50" s="68" t="n">
        <f aca="false">F50/D50</f>
        <v>0.409090909090909</v>
      </c>
      <c r="H50" s="70"/>
    </row>
    <row r="51" customFormat="false" ht="21.75" hidden="false" customHeight="true" outlineLevel="0" collapsed="false">
      <c r="A51" s="14" t="n">
        <v>9</v>
      </c>
      <c r="B51" s="15" t="s">
        <v>25</v>
      </c>
      <c r="C51" s="16" t="s">
        <v>19</v>
      </c>
      <c r="D51" s="14" t="n">
        <v>11</v>
      </c>
      <c r="E51" s="14" t="n">
        <v>1</v>
      </c>
      <c r="F51" s="17" t="n">
        <v>4.5</v>
      </c>
      <c r="G51" s="68" t="n">
        <f aca="false">F51/D51</f>
        <v>0.409090909090909</v>
      </c>
      <c r="H51" s="70"/>
    </row>
    <row r="52" customFormat="false" ht="21.75" hidden="false" customHeight="true" outlineLevel="0" collapsed="false">
      <c r="A52" s="14" t="n">
        <v>51</v>
      </c>
      <c r="B52" s="15" t="s">
        <v>75</v>
      </c>
      <c r="C52" s="16" t="s">
        <v>19</v>
      </c>
      <c r="D52" s="14" t="n">
        <v>6</v>
      </c>
      <c r="E52" s="14" t="n">
        <v>1</v>
      </c>
      <c r="F52" s="17" t="n">
        <v>4.75</v>
      </c>
      <c r="G52" s="68" t="n">
        <f aca="false">F52/D52</f>
        <v>0.791666666666667</v>
      </c>
      <c r="H52" s="70"/>
    </row>
    <row r="53" customFormat="false" ht="21.75" hidden="false" customHeight="true" outlineLevel="0" collapsed="false">
      <c r="A53" s="14" t="n">
        <v>83</v>
      </c>
      <c r="B53" s="15" t="s">
        <v>113</v>
      </c>
      <c r="C53" s="16" t="s">
        <v>19</v>
      </c>
      <c r="D53" s="14" t="n">
        <v>4</v>
      </c>
      <c r="E53" s="14" t="n">
        <v>1</v>
      </c>
      <c r="F53" s="17" t="n">
        <v>3.95</v>
      </c>
      <c r="G53" s="68" t="n">
        <f aca="false">F53/D53</f>
        <v>0.9875</v>
      </c>
      <c r="H53" s="70"/>
    </row>
    <row r="54" customFormat="false" ht="48" hidden="false" customHeight="true" outlineLevel="0" collapsed="false">
      <c r="A54" s="14" t="n">
        <v>45</v>
      </c>
      <c r="B54" s="15" t="s">
        <v>66</v>
      </c>
      <c r="C54" s="16" t="s">
        <v>19</v>
      </c>
      <c r="D54" s="14" t="n">
        <v>5</v>
      </c>
      <c r="E54" s="14" t="n">
        <v>1</v>
      </c>
      <c r="F54" s="17" t="n">
        <v>5.25</v>
      </c>
      <c r="G54" s="68" t="n">
        <f aca="false">F54/D54</f>
        <v>1.05</v>
      </c>
      <c r="H54" s="71" t="s">
        <v>126</v>
      </c>
    </row>
    <row r="55" customFormat="false" ht="21.75" hidden="false" customHeight="true" outlineLevel="0" collapsed="false">
      <c r="A55" s="14" t="n">
        <v>72</v>
      </c>
      <c r="B55" s="15" t="s">
        <v>99</v>
      </c>
      <c r="C55" s="16" t="s">
        <v>19</v>
      </c>
      <c r="D55" s="14" t="n">
        <v>4</v>
      </c>
      <c r="E55" s="14" t="n">
        <v>1</v>
      </c>
      <c r="F55" s="17" t="n">
        <v>4.25</v>
      </c>
      <c r="G55" s="68" t="n">
        <f aca="false">F55/D55</f>
        <v>1.0625</v>
      </c>
      <c r="H55" s="70"/>
    </row>
    <row r="56" customFormat="false" ht="48" hidden="false" customHeight="true" outlineLevel="0" collapsed="false">
      <c r="A56" s="14" t="n">
        <v>56</v>
      </c>
      <c r="B56" s="15" t="s">
        <v>81</v>
      </c>
      <c r="C56" s="16" t="s">
        <v>19</v>
      </c>
      <c r="D56" s="14" t="n">
        <v>6</v>
      </c>
      <c r="E56" s="14" t="n">
        <v>1</v>
      </c>
      <c r="F56" s="17" t="n">
        <v>6.5</v>
      </c>
      <c r="G56" s="68" t="n">
        <f aca="false">F56/D56</f>
        <v>1.08333333333333</v>
      </c>
      <c r="H56" s="71" t="s">
        <v>127</v>
      </c>
    </row>
    <row r="57" customFormat="false" ht="48" hidden="false" customHeight="true" outlineLevel="0" collapsed="false">
      <c r="A57" s="14" t="n">
        <v>49</v>
      </c>
      <c r="B57" s="15" t="s">
        <v>71</v>
      </c>
      <c r="C57" s="16" t="s">
        <v>19</v>
      </c>
      <c r="D57" s="14" t="n">
        <v>1</v>
      </c>
      <c r="E57" s="14" t="n">
        <v>2</v>
      </c>
      <c r="F57" s="17" t="n">
        <v>1.1</v>
      </c>
      <c r="G57" s="68" t="n">
        <f aca="false">F57/D57</f>
        <v>1.1</v>
      </c>
      <c r="H57" s="71" t="s">
        <v>128</v>
      </c>
    </row>
    <row r="58" customFormat="false" ht="21.75" hidden="false" customHeight="true" outlineLevel="0" collapsed="false">
      <c r="A58" s="14" t="n">
        <v>76</v>
      </c>
      <c r="B58" s="15" t="s">
        <v>104</v>
      </c>
      <c r="C58" s="16" t="s">
        <v>19</v>
      </c>
      <c r="D58" s="14" t="n">
        <v>4</v>
      </c>
      <c r="E58" s="14" t="n">
        <v>1</v>
      </c>
      <c r="F58" s="17" t="n">
        <v>4.75</v>
      </c>
      <c r="G58" s="68" t="n">
        <f aca="false">F58/D58</f>
        <v>1.1875</v>
      </c>
      <c r="H58" s="70"/>
    </row>
    <row r="59" customFormat="false" ht="21.75" hidden="false" customHeight="true" outlineLevel="0" collapsed="false">
      <c r="A59" s="14" t="n">
        <v>55</v>
      </c>
      <c r="B59" s="15" t="s">
        <v>80</v>
      </c>
      <c r="C59" s="16" t="s">
        <v>19</v>
      </c>
      <c r="D59" s="14" t="n">
        <v>4</v>
      </c>
      <c r="E59" s="14" t="n">
        <v>1</v>
      </c>
      <c r="F59" s="17" t="n">
        <v>5.25</v>
      </c>
      <c r="G59" s="68" t="n">
        <f aca="false">F59/D59</f>
        <v>1.3125</v>
      </c>
      <c r="H59" s="70"/>
    </row>
    <row r="60" customFormat="false" ht="21.75" hidden="false" customHeight="true" outlineLevel="0" collapsed="false">
      <c r="A60" s="14" t="n">
        <v>70</v>
      </c>
      <c r="B60" s="15" t="s">
        <v>97</v>
      </c>
      <c r="C60" s="16" t="s">
        <v>19</v>
      </c>
      <c r="D60" s="14" t="n">
        <v>4</v>
      </c>
      <c r="E60" s="14" t="n">
        <v>1</v>
      </c>
      <c r="F60" s="17" t="n">
        <v>5.5</v>
      </c>
      <c r="G60" s="68" t="n">
        <f aca="false">F60/D60</f>
        <v>1.375</v>
      </c>
      <c r="H60" s="70"/>
    </row>
    <row r="61" customFormat="false" ht="21.75" hidden="false" customHeight="true" outlineLevel="0" collapsed="false">
      <c r="A61" s="14" t="n">
        <v>48</v>
      </c>
      <c r="B61" s="15" t="s">
        <v>70</v>
      </c>
      <c r="C61" s="16" t="s">
        <v>19</v>
      </c>
      <c r="D61" s="14" t="n">
        <v>4</v>
      </c>
      <c r="E61" s="14" t="n">
        <v>1</v>
      </c>
      <c r="F61" s="17" t="n">
        <v>5.75</v>
      </c>
      <c r="G61" s="68" t="n">
        <f aca="false">F61/D61</f>
        <v>1.4375</v>
      </c>
      <c r="H61" s="70"/>
    </row>
    <row r="62" customFormat="false" ht="21.75" hidden="false" customHeight="true" outlineLevel="0" collapsed="false">
      <c r="A62" s="14" t="n">
        <v>65</v>
      </c>
      <c r="B62" s="15" t="s">
        <v>92</v>
      </c>
      <c r="C62" s="16" t="s">
        <v>19</v>
      </c>
      <c r="D62" s="14" t="n">
        <v>4</v>
      </c>
      <c r="E62" s="14" t="n">
        <v>1</v>
      </c>
      <c r="F62" s="17" t="n">
        <v>6.25</v>
      </c>
      <c r="G62" s="68" t="n">
        <f aca="false">F62/D62</f>
        <v>1.5625</v>
      </c>
      <c r="H62" s="70"/>
    </row>
    <row r="63" customFormat="false" ht="21.75" hidden="false" customHeight="true" outlineLevel="0" collapsed="false">
      <c r="A63" s="14" t="n">
        <v>74</v>
      </c>
      <c r="B63" s="15" t="s">
        <v>101</v>
      </c>
      <c r="C63" s="16" t="s">
        <v>19</v>
      </c>
      <c r="D63" s="14" t="n">
        <v>3</v>
      </c>
      <c r="E63" s="14" t="n">
        <v>1</v>
      </c>
      <c r="F63" s="17" t="n">
        <v>4.75</v>
      </c>
      <c r="G63" s="68" t="n">
        <f aca="false">F63/D63</f>
        <v>1.58333333333333</v>
      </c>
      <c r="H63" s="70"/>
    </row>
    <row r="64" customFormat="false" ht="21.75" hidden="false" customHeight="true" outlineLevel="0" collapsed="false">
      <c r="A64" s="14" t="n">
        <v>39</v>
      </c>
      <c r="B64" s="15" t="s">
        <v>60</v>
      </c>
      <c r="C64" s="16" t="s">
        <v>19</v>
      </c>
      <c r="D64" s="14" t="n">
        <v>2</v>
      </c>
      <c r="E64" s="14" t="n">
        <v>1</v>
      </c>
      <c r="F64" s="17" t="n">
        <v>3.2</v>
      </c>
      <c r="G64" s="68" t="n">
        <f aca="false">F64/D64</f>
        <v>1.6</v>
      </c>
      <c r="H64" s="70"/>
    </row>
    <row r="65" customFormat="false" ht="21.75" hidden="false" customHeight="true" outlineLevel="0" collapsed="false">
      <c r="A65" s="14" t="n">
        <v>47</v>
      </c>
      <c r="B65" s="15" t="s">
        <v>69</v>
      </c>
      <c r="C65" s="16" t="s">
        <v>19</v>
      </c>
      <c r="D65" s="14" t="n">
        <v>3</v>
      </c>
      <c r="E65" s="14" t="n">
        <v>1</v>
      </c>
      <c r="F65" s="17" t="n">
        <v>5.5</v>
      </c>
      <c r="G65" s="68" t="n">
        <f aca="false">F65/D65</f>
        <v>1.83333333333333</v>
      </c>
      <c r="H65" s="70"/>
    </row>
    <row r="66" customFormat="false" ht="48" hidden="false" customHeight="true" outlineLevel="0" collapsed="false">
      <c r="A66" s="14" t="n">
        <v>52</v>
      </c>
      <c r="B66" s="15" t="s">
        <v>76</v>
      </c>
      <c r="C66" s="16" t="s">
        <v>19</v>
      </c>
      <c r="D66" s="14" t="n">
        <v>2</v>
      </c>
      <c r="E66" s="14" t="n">
        <v>1</v>
      </c>
      <c r="F66" s="17" t="n">
        <v>3.85</v>
      </c>
      <c r="G66" s="68" t="n">
        <f aca="false">F66/D66</f>
        <v>1.925</v>
      </c>
      <c r="H66" s="71" t="s">
        <v>129</v>
      </c>
    </row>
    <row r="67" customFormat="false" ht="21.75" hidden="false" customHeight="true" outlineLevel="0" collapsed="false">
      <c r="A67" s="14" t="n">
        <v>14</v>
      </c>
      <c r="B67" s="15" t="s">
        <v>30</v>
      </c>
      <c r="C67" s="16" t="s">
        <v>19</v>
      </c>
      <c r="D67" s="14" t="n">
        <v>4</v>
      </c>
      <c r="E67" s="14" t="n">
        <v>1</v>
      </c>
      <c r="F67" s="17" t="n">
        <v>7.9</v>
      </c>
      <c r="G67" s="68" t="n">
        <f aca="false">F67/D67</f>
        <v>1.975</v>
      </c>
      <c r="H67" s="70"/>
    </row>
    <row r="68" customFormat="false" ht="21.75" hidden="false" customHeight="true" outlineLevel="0" collapsed="false">
      <c r="A68" s="14" t="n">
        <v>71</v>
      </c>
      <c r="B68" s="15" t="s">
        <v>98</v>
      </c>
      <c r="C68" s="16" t="s">
        <v>19</v>
      </c>
      <c r="D68" s="14" t="n">
        <v>3</v>
      </c>
      <c r="E68" s="14" t="n">
        <v>1</v>
      </c>
      <c r="F68" s="17" t="n">
        <v>7.5</v>
      </c>
      <c r="G68" s="68" t="n">
        <f aca="false">F68/D68</f>
        <v>2.5</v>
      </c>
      <c r="H68" s="70"/>
    </row>
  </sheetData>
  <autoFilter ref="A6:H68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5" activeCellId="0" sqref="A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6" min="5" style="0" width="18"/>
  </cols>
  <sheetData>
    <row r="1" customFormat="false" ht="33.75" hidden="false" customHeight="true" outlineLevel="0" collapsed="false">
      <c r="A1" s="72" t="s">
        <v>130</v>
      </c>
      <c r="B1" s="72"/>
      <c r="C1" s="72"/>
      <c r="D1" s="72"/>
      <c r="E1" s="72"/>
      <c r="F1" s="72"/>
    </row>
    <row r="3" customFormat="false" ht="24" hidden="false" customHeight="true" outlineLevel="0" collapsed="false">
      <c r="A3" s="73" t="s">
        <v>131</v>
      </c>
      <c r="B3" s="73"/>
    </row>
    <row r="4" customFormat="false" ht="21.75" hidden="false" customHeight="true" outlineLevel="0" collapsed="false">
      <c r="A4" s="74" t="s">
        <v>132</v>
      </c>
      <c r="B4" s="75" t="s">
        <v>133</v>
      </c>
    </row>
    <row r="5" customFormat="false" ht="21.75" hidden="false" customHeight="true" outlineLevel="0" collapsed="false">
      <c r="A5" s="74" t="s">
        <v>134</v>
      </c>
      <c r="B5" s="76" t="s">
        <v>135</v>
      </c>
    </row>
    <row r="6" customFormat="false" ht="21.75" hidden="false" customHeight="true" outlineLevel="0" collapsed="false">
      <c r="A6" s="74" t="s">
        <v>136</v>
      </c>
      <c r="B6" s="76" t="s">
        <v>137</v>
      </c>
    </row>
    <row r="7" customFormat="false" ht="21.75" hidden="false" customHeight="true" outlineLevel="0" collapsed="false">
      <c r="A7" s="74" t="s">
        <v>138</v>
      </c>
      <c r="B7" s="76" t="s">
        <v>139</v>
      </c>
    </row>
    <row r="8" customFormat="false" ht="21.75" hidden="false" customHeight="true" outlineLevel="0" collapsed="false">
      <c r="A8" s="74" t="s">
        <v>140</v>
      </c>
      <c r="B8" s="76" t="s">
        <v>141</v>
      </c>
    </row>
    <row r="9" customFormat="false" ht="21.75" hidden="false" customHeight="true" outlineLevel="0" collapsed="false">
      <c r="A9" s="74" t="s">
        <v>142</v>
      </c>
      <c r="B9" s="76" t="s">
        <v>143</v>
      </c>
    </row>
    <row r="10" customFormat="false" ht="21.75" hidden="false" customHeight="true" outlineLevel="0" collapsed="false">
      <c r="A10" s="74" t="s">
        <v>144</v>
      </c>
      <c r="B10" s="76" t="s">
        <v>145</v>
      </c>
    </row>
    <row r="11" customFormat="false" ht="21.75" hidden="false" customHeight="true" outlineLevel="0" collapsed="false">
      <c r="A11" s="74" t="s">
        <v>146</v>
      </c>
      <c r="B11" s="76" t="s">
        <v>147</v>
      </c>
    </row>
    <row r="14" customFormat="false" ht="27.75" hidden="false" customHeight="true" outlineLevel="0" collapsed="false">
      <c r="A14" s="50" t="s">
        <v>8</v>
      </c>
      <c r="B14" s="50" t="s">
        <v>142</v>
      </c>
      <c r="C14" s="50" t="s">
        <v>148</v>
      </c>
      <c r="D14" s="50" t="s">
        <v>149</v>
      </c>
      <c r="E14" s="50" t="s">
        <v>150</v>
      </c>
      <c r="F14" s="50" t="s">
        <v>151</v>
      </c>
    </row>
    <row r="15" customFormat="false" ht="21.75" hidden="false" customHeight="true" outlineLevel="0" collapsed="false">
      <c r="A15" s="77" t="s">
        <v>19</v>
      </c>
      <c r="B15" s="14" t="n">
        <v>60</v>
      </c>
      <c r="C15" s="14" t="n">
        <v>68</v>
      </c>
      <c r="D15" s="17" t="n">
        <v>250.85</v>
      </c>
      <c r="E15" s="78" t="n">
        <v>0.0458333333333333</v>
      </c>
      <c r="F15" s="78" t="n">
        <v>2.5</v>
      </c>
    </row>
    <row r="16" customFormat="false" ht="21.75" hidden="false" customHeight="true" outlineLevel="0" collapsed="false">
      <c r="A16" s="79" t="s">
        <v>16</v>
      </c>
      <c r="B16" s="8" t="n">
        <v>2</v>
      </c>
      <c r="C16" s="8" t="n">
        <v>2</v>
      </c>
      <c r="D16" s="11" t="n">
        <v>2.8</v>
      </c>
      <c r="E16" s="80" t="n">
        <v>0.035</v>
      </c>
      <c r="F16" s="80" t="n">
        <v>0.035</v>
      </c>
    </row>
    <row r="17" customFormat="false" ht="21.75" hidden="false" customHeight="true" outlineLevel="0" collapsed="false">
      <c r="A17" s="81" t="s">
        <v>39</v>
      </c>
      <c r="B17" s="25" t="n">
        <v>7</v>
      </c>
      <c r="C17" s="25" t="n">
        <v>48</v>
      </c>
      <c r="D17" s="28" t="n">
        <v>20.4</v>
      </c>
      <c r="E17" s="82" t="n">
        <v>0.292</v>
      </c>
      <c r="F17" s="82" t="n">
        <v>0.792</v>
      </c>
    </row>
    <row r="18" customFormat="false" ht="21.75" hidden="false" customHeight="true" outlineLevel="0" collapsed="false">
      <c r="A18" s="83" t="s">
        <v>48</v>
      </c>
      <c r="B18" s="30" t="n">
        <v>8</v>
      </c>
      <c r="C18" s="30" t="n">
        <v>10</v>
      </c>
      <c r="D18" s="33" t="n">
        <v>38.25</v>
      </c>
      <c r="E18" s="84" t="n">
        <v>0.135416666666667</v>
      </c>
      <c r="F18" s="84" t="n">
        <v>2.25</v>
      </c>
    </row>
    <row r="19" customFormat="false" ht="21.75" hidden="false" customHeight="true" outlineLevel="0" collapsed="false">
      <c r="A19" s="85" t="s">
        <v>106</v>
      </c>
      <c r="B19" s="45" t="n">
        <v>3</v>
      </c>
      <c r="C19" s="45" t="n">
        <v>4</v>
      </c>
      <c r="D19" s="48" t="n">
        <v>7.65</v>
      </c>
      <c r="E19" s="86" t="n">
        <v>0.065</v>
      </c>
      <c r="F19" s="86" t="n">
        <v>0.09</v>
      </c>
    </row>
    <row r="20" customFormat="false" ht="21.75" hidden="false" customHeight="true" outlineLevel="0" collapsed="false">
      <c r="A20" s="87" t="s">
        <v>33</v>
      </c>
      <c r="B20" s="19" t="n">
        <v>2</v>
      </c>
      <c r="C20" s="19" t="n">
        <v>3</v>
      </c>
      <c r="D20" s="22" t="n">
        <v>3.95</v>
      </c>
      <c r="E20" s="88" t="n">
        <v>1.1</v>
      </c>
      <c r="F20" s="88" t="n">
        <v>1.75</v>
      </c>
    </row>
    <row r="21" customFormat="false" ht="21.75" hidden="false" customHeight="true" outlineLevel="0" collapsed="false">
      <c r="A21" s="89" t="s">
        <v>86</v>
      </c>
      <c r="B21" s="35" t="n">
        <v>2</v>
      </c>
      <c r="C21" s="35" t="n">
        <v>4</v>
      </c>
      <c r="D21" s="38" t="n">
        <v>2.6</v>
      </c>
      <c r="E21" s="90" t="n">
        <v>0.13</v>
      </c>
      <c r="F21" s="90" t="n">
        <v>0.13</v>
      </c>
    </row>
    <row r="22" customFormat="false" ht="21.75" hidden="false" customHeight="true" outlineLevel="0" collapsed="false">
      <c r="A22" s="91" t="s">
        <v>103</v>
      </c>
      <c r="B22" s="40" t="n">
        <v>2</v>
      </c>
      <c r="C22" s="40" t="n">
        <v>2</v>
      </c>
      <c r="D22" s="43" t="n">
        <v>5</v>
      </c>
      <c r="E22" s="92" t="n">
        <v>1.125</v>
      </c>
      <c r="F22" s="92" t="n">
        <v>2.75</v>
      </c>
    </row>
    <row r="23" customFormat="false" ht="17.9" hidden="false" customHeight="false" outlineLevel="0" collapsed="false">
      <c r="A23" s="50" t="s">
        <v>152</v>
      </c>
      <c r="B23" s="50" t="n">
        <f aca="false">SUM(B15:B22)</f>
        <v>86</v>
      </c>
      <c r="C23" s="50" t="n">
        <f aca="false">SUM(C15:C22)</f>
        <v>141</v>
      </c>
      <c r="D23" s="93" t="n">
        <f aca="false">SUM(D15:D22)</f>
        <v>331.5</v>
      </c>
      <c r="E23" s="50"/>
      <c r="F23" s="50"/>
    </row>
    <row r="25" customFormat="false" ht="27.75" hidden="false" customHeight="true" outlineLevel="0" collapsed="false">
      <c r="A25" s="94" t="s">
        <v>153</v>
      </c>
      <c r="B25" s="94"/>
      <c r="C25" s="94"/>
      <c r="D25" s="94"/>
      <c r="E25" s="94"/>
      <c r="F25" s="94"/>
    </row>
    <row r="27" customFormat="false" ht="48" hidden="false" customHeight="true" outlineLevel="0" collapsed="false">
      <c r="A27" s="95" t="s">
        <v>154</v>
      </c>
      <c r="B27" s="95"/>
      <c r="C27" s="95"/>
      <c r="D27" s="95"/>
      <c r="E27" s="95"/>
      <c r="F27" s="95"/>
    </row>
  </sheetData>
  <mergeCells count="4">
    <mergeCell ref="A1:F1"/>
    <mergeCell ref="A3:B3"/>
    <mergeCell ref="A25:F25"/>
    <mergeCell ref="A27:F27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false"/>
  </sheetPr>
  <dimension ref="A1:H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24"/>
  </cols>
  <sheetData>
    <row r="1" customFormat="false" ht="31.5" hidden="false" customHeight="true" outlineLevel="0" collapsed="false">
      <c r="A1" s="96" t="s">
        <v>155</v>
      </c>
      <c r="B1" s="96"/>
      <c r="C1" s="96"/>
      <c r="D1" s="96"/>
      <c r="E1" s="96"/>
      <c r="F1" s="96"/>
      <c r="G1" s="96"/>
      <c r="H1" s="96"/>
    </row>
    <row r="2" customFormat="false" ht="27.75" hidden="false" customHeight="true" outlineLevel="0" collapsed="false">
      <c r="A2" s="97" t="s">
        <v>156</v>
      </c>
      <c r="B2" s="97"/>
      <c r="C2" s="97"/>
      <c r="D2" s="97"/>
      <c r="E2" s="97"/>
      <c r="F2" s="97"/>
      <c r="G2" s="97"/>
      <c r="H2" s="97"/>
    </row>
    <row r="4" customFormat="false" ht="31.5" hidden="false" customHeight="true" outlineLevel="0" collapsed="false">
      <c r="A4" s="98" t="s">
        <v>157</v>
      </c>
      <c r="B4" s="98" t="s">
        <v>6</v>
      </c>
      <c r="C4" s="98" t="s">
        <v>8</v>
      </c>
      <c r="D4" s="98" t="s">
        <v>158</v>
      </c>
      <c r="E4" s="98" t="s">
        <v>159</v>
      </c>
      <c r="F4" s="98" t="s">
        <v>160</v>
      </c>
      <c r="G4" s="98" t="s">
        <v>161</v>
      </c>
      <c r="H4" s="98" t="s">
        <v>162</v>
      </c>
    </row>
    <row r="5" customFormat="false" ht="24" hidden="false" customHeight="true" outlineLevel="0" collapsed="false">
      <c r="A5" s="99" t="n">
        <v>16</v>
      </c>
      <c r="B5" s="100" t="s">
        <v>32</v>
      </c>
      <c r="C5" s="101" t="s">
        <v>33</v>
      </c>
      <c r="D5" s="99" t="n">
        <v>1</v>
      </c>
      <c r="E5" s="99" t="n">
        <v>20</v>
      </c>
      <c r="F5" s="102" t="n">
        <v>1.75</v>
      </c>
      <c r="G5" s="103" t="n">
        <v>1.75</v>
      </c>
      <c r="H5" s="104" t="n">
        <v>0.0875</v>
      </c>
    </row>
    <row r="6" customFormat="false" ht="24" hidden="false" customHeight="true" outlineLevel="0" collapsed="false">
      <c r="A6" s="99" t="n">
        <v>45</v>
      </c>
      <c r="B6" s="100" t="s">
        <v>66</v>
      </c>
      <c r="C6" s="101" t="s">
        <v>19</v>
      </c>
      <c r="D6" s="99" t="n">
        <v>5</v>
      </c>
      <c r="E6" s="99" t="n">
        <v>25</v>
      </c>
      <c r="F6" s="102" t="n">
        <v>5.25</v>
      </c>
      <c r="G6" s="103" t="n">
        <v>1.05</v>
      </c>
      <c r="H6" s="104" t="n">
        <v>0.21</v>
      </c>
    </row>
    <row r="7" customFormat="false" ht="24" hidden="false" customHeight="true" outlineLevel="0" collapsed="false">
      <c r="A7" s="99" t="n">
        <v>52</v>
      </c>
      <c r="B7" s="100" t="s">
        <v>76</v>
      </c>
      <c r="C7" s="101" t="s">
        <v>19</v>
      </c>
      <c r="D7" s="99" t="n">
        <v>2</v>
      </c>
      <c r="E7" s="99" t="n">
        <v>16</v>
      </c>
      <c r="F7" s="102" t="n">
        <v>3.85</v>
      </c>
      <c r="G7" s="103" t="n">
        <v>1.925</v>
      </c>
      <c r="H7" s="104" t="n">
        <v>0.2406</v>
      </c>
    </row>
    <row r="8" customFormat="false" ht="24" hidden="false" customHeight="true" outlineLevel="0" collapsed="false">
      <c r="A8" s="99" t="n">
        <v>56</v>
      </c>
      <c r="B8" s="100" t="s">
        <v>81</v>
      </c>
      <c r="C8" s="101" t="s">
        <v>19</v>
      </c>
      <c r="D8" s="99" t="n">
        <v>6</v>
      </c>
      <c r="E8" s="99" t="n">
        <v>8</v>
      </c>
      <c r="F8" s="102" t="n">
        <v>6.5</v>
      </c>
      <c r="G8" s="103" t="n">
        <v>1.0833</v>
      </c>
      <c r="H8" s="104" t="n">
        <v>0.8125</v>
      </c>
    </row>
    <row r="9" customFormat="false" ht="24" hidden="false" customHeight="true" outlineLevel="0" collapsed="false">
      <c r="A9" s="99" t="n">
        <v>81</v>
      </c>
      <c r="B9" s="100" t="s">
        <v>110</v>
      </c>
      <c r="C9" s="101" t="s">
        <v>103</v>
      </c>
      <c r="D9" s="99" t="n">
        <v>1</v>
      </c>
      <c r="E9" s="99" t="n">
        <v>35</v>
      </c>
      <c r="F9" s="102" t="n">
        <v>2.75</v>
      </c>
      <c r="G9" s="103" t="n">
        <v>2.75</v>
      </c>
      <c r="H9" s="104" t="n">
        <v>0.0786</v>
      </c>
    </row>
    <row r="12" customFormat="false" ht="27.75" hidden="false" customHeight="true" outlineLevel="0" collapsed="false">
      <c r="A12" s="94" t="s">
        <v>163</v>
      </c>
      <c r="B12" s="94"/>
      <c r="C12" s="94"/>
      <c r="D12" s="94"/>
      <c r="E12" s="94"/>
      <c r="F12" s="94"/>
      <c r="G12" s="94"/>
      <c r="H12" s="94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2026-10-06T15:03:19Z</dcterms:created>
  <dc:creator>World Sweets invoice piece-price sheet</dc:creator>
  <dc:description/>
  <dc:language>en-US</dc:language>
  <cp:lastModifiedBy/>
  <dcterms:modified xsi:type="dcterms:W3CDTF">2026-10-06T15:08:06Z</dcterms:modified>
  <cp:revision>0</cp:revision>
  <dc:subject>فاتورة 26002232 بتاريخ 03/10/2026 - سعر الحبة الواحدة</dc:subject>
  <dc:title>فاتورة عالم الحلويات - سعر الحبة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