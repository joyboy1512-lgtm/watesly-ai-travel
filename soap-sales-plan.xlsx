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داخلي" sheetId="1" state="visible" r:id="rId1"/>
    <sheet name="الإعدادات" sheetId="2" state="visible" r:id="rId2"/>
    <sheet name="المنتجات" sheetId="3" state="visible" r:id="rId3"/>
    <sheet name="الحاسبة" sheetId="4" state="visible" r:id="rId4"/>
  </sheets>
  <definedNames>
    <definedName name="_xlnm._FilterDatabase" localSheetId="2" hidden="1">'المنتجات'!$A$3:$L$27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000000"/>
      <sz val="12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b val="1"/>
      <color rgb="00FFFFFF"/>
      <sz val="12"/>
    </font>
    <font>
      <name val="Calibri"/>
      <b val="1"/>
      <color rgb="00FFFFFF"/>
      <sz val="16"/>
    </font>
  </fonts>
  <fills count="11">
    <fill>
      <patternFill/>
    </fill>
    <fill>
      <patternFill patternType="gray125"/>
    </fill>
    <fill>
      <patternFill patternType="solid">
        <fgColor rgb="009C0006"/>
      </patternFill>
    </fill>
    <fill>
      <patternFill patternType="solid">
        <fgColor rgb="00FCE4E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0D7377"/>
      </patternFill>
    </fill>
    <fill>
      <patternFill patternType="solid">
        <fgColor rgb="00FFF8E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10" fontId="4" fillId="6" borderId="1" applyAlignment="1" pivotButton="0" quotePrefix="0" xfId="0">
      <alignment horizontal="center" vertical="center" wrapText="1"/>
    </xf>
    <xf numFmtId="1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8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3" fontId="2" fillId="6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4" fontId="2" fillId="6" borderId="1" applyAlignment="1" pivotButton="0" quotePrefix="0" xfId="0">
      <alignment horizontal="center" vertical="center" wrapText="1"/>
    </xf>
    <xf numFmtId="4" fontId="2" fillId="7" borderId="1" applyAlignment="1" pivotButton="0" quotePrefix="0" xfId="0">
      <alignment horizontal="center" vertical="center" wrapText="1"/>
    </xf>
    <xf numFmtId="10" fontId="2" fillId="7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4" fontId="2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right" vertical="center" wrapText="1"/>
    </xf>
    <xf numFmtId="3" fontId="2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0" fontId="4" fillId="10" borderId="1" applyAlignment="1" pivotButton="0" quotePrefix="0" xfId="0">
      <alignment horizontal="center" vertical="center" wrapText="1"/>
    </xf>
    <xf numFmtId="4" fontId="2" fillId="5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C0006"/>
    <outlinePr summaryBelow="1" summaryRight="1"/>
    <pageSetUpPr fitToPage="0"/>
  </sheetPr>
  <dimension ref="A1:D21"/>
  <sheetViews>
    <sheetView showGridLines="0" rightToLeft="1" view="normal" zoomScale="100" zoomScaleNormal="100"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  <col width="22" customWidth="1" min="4" max="4"/>
  </cols>
  <sheetData>
    <row r="1" ht="32" customHeight="1">
      <c r="A1" s="1" t="inlineStr">
        <is>
          <t>ملف داخلي — لا يُرسل للشركة أو الموزع</t>
        </is>
      </c>
    </row>
    <row r="2" ht="32" customHeight="1">
      <c r="A2" s="2" t="inlineStr">
        <is>
          <t>هذا الملف فيه سعر التكلفة. الملف الذي يُرسل هو soap-client-offer.xlsx وفيه سعر البيع والعمولة والكميات فقط.</t>
        </is>
      </c>
    </row>
    <row r="4">
      <c r="A4" s="3" t="inlineStr">
        <is>
          <t>شرط الشريحة الثالثة</t>
        </is>
      </c>
    </row>
    <row r="5">
      <c r="A5" s="4" t="inlineStr">
        <is>
          <t>حصة الأساسية من الربح</t>
        </is>
      </c>
      <c r="B5" s="5">
        <f>2/3</f>
        <v/>
      </c>
    </row>
    <row r="6">
      <c r="A6" s="4" t="inlineStr">
        <is>
          <t>حصة المتوسطة من الربح</t>
        </is>
      </c>
      <c r="B6" s="5">
        <f>1/2</f>
        <v/>
      </c>
    </row>
    <row r="7">
      <c r="A7" s="4" t="inlineStr">
        <is>
          <t>حصة الثالثة من الربح</t>
        </is>
      </c>
      <c r="B7" s="5">
        <f>1/3</f>
        <v/>
      </c>
    </row>
    <row r="8">
      <c r="A8" s="4" t="inlineStr">
        <is>
          <t>أقل هامش</t>
        </is>
      </c>
      <c r="B8" s="6">
        <f>MIN(المنتجات!F4:F27)</f>
        <v/>
      </c>
    </row>
    <row r="9">
      <c r="A9" s="4" t="inlineStr">
        <is>
          <t>منتج السقف</t>
        </is>
      </c>
      <c r="B9" s="7">
        <f>INDEX(المنتجات!B4:B27,MATCH(B8,المنتجات!F4:F27,0))</f>
        <v/>
      </c>
    </row>
    <row r="10">
      <c r="A10" s="4" t="inlineStr">
        <is>
          <t>نسبة الأولى من سعر البيع</t>
        </is>
      </c>
      <c r="B10" s="6">
        <f>(1-B5)*B8</f>
        <v/>
      </c>
    </row>
    <row r="11">
      <c r="A11" s="4" t="inlineStr">
        <is>
          <t>نسبة الثانية من سعر البيع</t>
        </is>
      </c>
      <c r="B11" s="6">
        <f>(1-B6)*B8</f>
        <v/>
      </c>
    </row>
    <row r="12">
      <c r="A12" s="4" t="inlineStr">
        <is>
          <t>نسبة الثالثة من سعر البيع</t>
        </is>
      </c>
      <c r="B12" s="5">
        <f>(1-B7)*B8</f>
        <v/>
      </c>
    </row>
    <row r="14" ht="40" customHeight="1">
      <c r="A14" s="8" t="inlineStr">
        <is>
          <t>نسبة الشريحة الثالثة = ثلثا أقل هامش. بهذا يبقى لك ثلث الربح على منتج السقف، وأكثر من ذلك في باقي الأصناف. ملف العرض يعرض هذه النسبة كنسبة من سعر البيع فقط.</t>
        </is>
      </c>
    </row>
    <row r="16">
      <c r="A16" s="9" t="inlineStr">
        <is>
          <t>حدود الكمية الداخلية — طابقها مع ملف العرض إذا عدّلتها</t>
        </is>
      </c>
    </row>
    <row r="17">
      <c r="A17" s="10" t="inlineStr">
        <is>
          <t>التصنيف</t>
        </is>
      </c>
      <c r="B17" s="10" t="inlineStr">
        <is>
          <t>الأولى حتى</t>
        </is>
      </c>
      <c r="C17" s="10" t="inlineStr">
        <is>
          <t>الثانية حتى</t>
        </is>
      </c>
      <c r="D17" s="10" t="inlineStr">
        <is>
          <t>الثالثة</t>
        </is>
      </c>
    </row>
    <row r="18">
      <c r="A18" s="4" t="inlineStr">
        <is>
          <t>صابون قالب</t>
        </is>
      </c>
      <c r="B18" s="11" t="n">
        <v>48</v>
      </c>
      <c r="C18" s="11" t="n">
        <v>120</v>
      </c>
      <c r="D18" s="12">
        <f>"أكثر من "&amp;TEXT(C18,"#,##0")</f>
        <v/>
      </c>
    </row>
    <row r="19">
      <c r="A19" s="4" t="inlineStr">
        <is>
          <t>مقشر جسم</t>
        </is>
      </c>
      <c r="B19" s="11" t="n">
        <v>24</v>
      </c>
      <c r="C19" s="11" t="n">
        <v>72</v>
      </c>
      <c r="D19" s="12">
        <f>"أكثر من "&amp;TEXT(C19,"#,##0")</f>
        <v/>
      </c>
    </row>
    <row r="20">
      <c r="A20" s="4" t="inlineStr">
        <is>
          <t>صابون سائل</t>
        </is>
      </c>
      <c r="B20" s="11" t="n">
        <v>36</v>
      </c>
      <c r="C20" s="11" t="n">
        <v>96</v>
      </c>
      <c r="D20" s="12">
        <f>"أكثر من "&amp;TEXT(C20,"#,##0")</f>
        <v/>
      </c>
    </row>
    <row r="21">
      <c r="A21" s="4" t="inlineStr">
        <is>
          <t>جل استحمام</t>
        </is>
      </c>
      <c r="B21" s="11" t="n">
        <v>36</v>
      </c>
      <c r="C21" s="11" t="n">
        <v>96</v>
      </c>
      <c r="D21" s="12">
        <f>"أكثر من "&amp;TEXT(C21,"#,##0")</f>
        <v/>
      </c>
    </row>
  </sheetData>
  <mergeCells count="5">
    <mergeCell ref="A1:D1"/>
    <mergeCell ref="A4:D4"/>
    <mergeCell ref="A2:D2"/>
    <mergeCell ref="A16:D16"/>
    <mergeCell ref="A14:D14"/>
  </mergeCells>
  <pageMargins left="0.5" right="0.5" top="0.6" bottom="0.6" header="0.3" footer="0.3"/>
  <pageSetup orientation="landscape" paperSize="9" scale="8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0"/>
  </sheetPr>
  <dimension ref="A1:L27"/>
  <sheetViews>
    <sheetView showGridLines="1" rightToLeft="1" view="normal" zoomScale="100" zoomScaleNormal="100" workbookViewId="0">
      <pane ySplit="3" topLeftCell="A4" activePane="bottomLeft" state="frozen"/>
      <selection pane="bottomLeft" activeCell="A4" sqref="A4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28" customWidth="1" min="10" max="10"/>
    <col width="22" customWidth="1" min="11" max="11"/>
    <col width="16" customWidth="1" min="12" max="12"/>
  </cols>
  <sheetData>
    <row r="1" ht="28" customHeight="1">
      <c r="A1" s="13" t="inlineStr">
        <is>
          <t>تكلفة وربح كل صنف — استخدام داخلي</t>
        </is>
      </c>
    </row>
    <row r="3" ht="36" customHeight="1">
      <c r="A3" s="10" t="inlineStr">
        <is>
          <t>التصنيف</t>
        </is>
      </c>
      <c r="B3" s="10" t="inlineStr">
        <is>
          <t>المنتج</t>
        </is>
      </c>
      <c r="C3" s="10" t="inlineStr">
        <is>
          <t>سعر البيع</t>
        </is>
      </c>
      <c r="D3" s="10" t="inlineStr">
        <is>
          <t>التكلفة</t>
        </is>
      </c>
      <c r="E3" s="10" t="inlineStr">
        <is>
          <t>الربح</t>
        </is>
      </c>
      <c r="F3" s="10" t="inlineStr">
        <is>
          <t>الهامش</t>
        </is>
      </c>
      <c r="G3" s="10" t="inlineStr">
        <is>
          <t>يحدد السقف</t>
        </is>
      </c>
      <c r="H3" s="10" t="inlineStr">
        <is>
          <t>نسبة الثالثة</t>
        </is>
      </c>
      <c r="I3" s="10" t="inlineStr">
        <is>
          <t>عمولة الثالثة</t>
        </is>
      </c>
      <c r="J3" s="10" t="inlineStr">
        <is>
          <t>صافي بعد العمولة والتكلفة</t>
        </is>
      </c>
      <c r="K3" s="10" t="inlineStr">
        <is>
          <t>حصة الربح في الثالثة</t>
        </is>
      </c>
      <c r="L3" s="10" t="inlineStr">
        <is>
          <t>الحالة</t>
        </is>
      </c>
    </row>
    <row r="4" ht="20" customHeight="1">
      <c r="A4" s="14" t="inlineStr">
        <is>
          <t>صابون قالب</t>
        </is>
      </c>
      <c r="B4" s="14" t="inlineStr">
        <is>
          <t>Bar Soap - Black Soap 95GM</t>
        </is>
      </c>
      <c r="C4" s="15" t="n">
        <v>3</v>
      </c>
      <c r="D4" s="15" t="n">
        <v>1.45</v>
      </c>
      <c r="E4" s="16">
        <f>C4-D4</f>
        <v/>
      </c>
      <c r="F4" s="17">
        <f>IF(C4=0,0,E4/C4)</f>
        <v/>
      </c>
      <c r="G4" s="18">
        <f>IF(ABS(F4-داخلي!$B$8)&lt;0.0000001,"نعم","")</f>
        <v/>
      </c>
      <c r="H4" s="17">
        <f>داخلي!$B$12</f>
        <v/>
      </c>
      <c r="I4" s="19">
        <f>C4*H4</f>
        <v/>
      </c>
      <c r="J4" s="16">
        <f>C4-I4-D4</f>
        <v/>
      </c>
      <c r="K4" s="6">
        <f>IF(E4=0,0,J4/E4)</f>
        <v/>
      </c>
      <c r="L4" s="20">
        <f>IF(K4+0.0000001&gt;=داخلي!$B$7,"يتحقق","أقل من الثلث")</f>
        <v/>
      </c>
    </row>
    <row r="5" ht="20" customHeight="1">
      <c r="A5" s="14" t="inlineStr">
        <is>
          <t>صابون قالب</t>
        </is>
      </c>
      <c r="B5" s="14" t="inlineStr">
        <is>
          <t>Bar Soap - Coffee Soap 95GM</t>
        </is>
      </c>
      <c r="C5" s="15" t="n">
        <v>3</v>
      </c>
      <c r="D5" s="15" t="n">
        <v>1.25</v>
      </c>
      <c r="E5" s="16">
        <f>C5-D5</f>
        <v/>
      </c>
      <c r="F5" s="17">
        <f>IF(C5=0,0,E5/C5)</f>
        <v/>
      </c>
      <c r="G5" s="18">
        <f>IF(ABS(F5-داخلي!$B$8)&lt;0.0000001,"نعم","")</f>
        <v/>
      </c>
      <c r="H5" s="17">
        <f>داخلي!$B$12</f>
        <v/>
      </c>
      <c r="I5" s="19">
        <f>C5*H5</f>
        <v/>
      </c>
      <c r="J5" s="16">
        <f>C5-I5-D5</f>
        <v/>
      </c>
      <c r="K5" s="6">
        <f>IF(E5=0,0,J5/E5)</f>
        <v/>
      </c>
      <c r="L5" s="20">
        <f>IF(K5+0.0000001&gt;=داخلي!$B$7,"يتحقق","أقل من الثلث")</f>
        <v/>
      </c>
    </row>
    <row r="6" ht="20" customHeight="1">
      <c r="A6" s="14" t="inlineStr">
        <is>
          <t>صابون قالب</t>
        </is>
      </c>
      <c r="B6" s="14" t="inlineStr">
        <is>
          <t>Bar Soap - Curcum Soap 95GM</t>
        </is>
      </c>
      <c r="C6" s="15" t="n">
        <v>3.25</v>
      </c>
      <c r="D6" s="15" t="n">
        <v>1.45</v>
      </c>
      <c r="E6" s="16">
        <f>C6-D6</f>
        <v/>
      </c>
      <c r="F6" s="17">
        <f>IF(C6=0,0,E6/C6)</f>
        <v/>
      </c>
      <c r="G6" s="18">
        <f>IF(ABS(F6-داخلي!$B$8)&lt;0.0000001,"نعم","")</f>
        <v/>
      </c>
      <c r="H6" s="17">
        <f>داخلي!$B$12</f>
        <v/>
      </c>
      <c r="I6" s="19">
        <f>C6*H6</f>
        <v/>
      </c>
      <c r="J6" s="16">
        <f>C6-I6-D6</f>
        <v/>
      </c>
      <c r="K6" s="6">
        <f>IF(E6=0,0,J6/E6)</f>
        <v/>
      </c>
      <c r="L6" s="20">
        <f>IF(K6+0.0000001&gt;=داخلي!$B$7,"يتحقق","أقل من الثلث")</f>
        <v/>
      </c>
    </row>
    <row r="7" ht="20" customHeight="1">
      <c r="A7" s="14" t="inlineStr">
        <is>
          <t>صابون قالب</t>
        </is>
      </c>
      <c r="B7" s="14" t="inlineStr">
        <is>
          <t>Bar Soap - Ghar Soap 95GM</t>
        </is>
      </c>
      <c r="C7" s="15" t="n">
        <v>3.5</v>
      </c>
      <c r="D7" s="15" t="n">
        <v>1.8</v>
      </c>
      <c r="E7" s="16">
        <f>C7-D7</f>
        <v/>
      </c>
      <c r="F7" s="17">
        <f>IF(C7=0,0,E7/C7)</f>
        <v/>
      </c>
      <c r="G7" s="18">
        <f>IF(ABS(F7-داخلي!$B$8)&lt;0.0000001,"نعم","")</f>
        <v/>
      </c>
      <c r="H7" s="17">
        <f>داخلي!$B$12</f>
        <v/>
      </c>
      <c r="I7" s="19">
        <f>C7*H7</f>
        <v/>
      </c>
      <c r="J7" s="16">
        <f>C7-I7-D7</f>
        <v/>
      </c>
      <c r="K7" s="6">
        <f>IF(E7=0,0,J7/E7)</f>
        <v/>
      </c>
      <c r="L7" s="20">
        <f>IF(K7+0.0000001&gt;=داخلي!$B$7,"يتحقق","أقل من الثلث")</f>
        <v/>
      </c>
    </row>
    <row r="8" ht="20" customHeight="1">
      <c r="A8" s="14" t="inlineStr">
        <is>
          <t>صابون قالب</t>
        </is>
      </c>
      <c r="B8" s="14" t="inlineStr">
        <is>
          <t>Bar Soap - Lavender Soap 95GM</t>
        </is>
      </c>
      <c r="C8" s="15" t="n">
        <v>3.5</v>
      </c>
      <c r="D8" s="15" t="n">
        <v>1.8</v>
      </c>
      <c r="E8" s="16">
        <f>C8-D8</f>
        <v/>
      </c>
      <c r="F8" s="17">
        <f>IF(C8=0,0,E8/C8)</f>
        <v/>
      </c>
      <c r="G8" s="18">
        <f>IF(ABS(F8-داخلي!$B$8)&lt;0.0000001,"نعم","")</f>
        <v/>
      </c>
      <c r="H8" s="17">
        <f>داخلي!$B$12</f>
        <v/>
      </c>
      <c r="I8" s="19">
        <f>C8*H8</f>
        <v/>
      </c>
      <c r="J8" s="16">
        <f>C8-I8-D8</f>
        <v/>
      </c>
      <c r="K8" s="6">
        <f>IF(E8=0,0,J8/E8)</f>
        <v/>
      </c>
      <c r="L8" s="20">
        <f>IF(K8+0.0000001&gt;=داخلي!$B$7,"يتحقق","أقل من الثلث")</f>
        <v/>
      </c>
    </row>
    <row r="9" ht="20" customHeight="1">
      <c r="A9" s="14" t="inlineStr">
        <is>
          <t>صابون قالب</t>
        </is>
      </c>
      <c r="B9" s="14" t="inlineStr">
        <is>
          <t>Bar Soap - Malva 95GM</t>
        </is>
      </c>
      <c r="C9" s="15" t="n">
        <v>3.25</v>
      </c>
      <c r="D9" s="15" t="n">
        <v>1.45</v>
      </c>
      <c r="E9" s="16">
        <f>C9-D9</f>
        <v/>
      </c>
      <c r="F9" s="17">
        <f>IF(C9=0,0,E9/C9)</f>
        <v/>
      </c>
      <c r="G9" s="18">
        <f>IF(ABS(F9-داخلي!$B$8)&lt;0.0000001,"نعم","")</f>
        <v/>
      </c>
      <c r="H9" s="17">
        <f>داخلي!$B$12</f>
        <v/>
      </c>
      <c r="I9" s="19">
        <f>C9*H9</f>
        <v/>
      </c>
      <c r="J9" s="16">
        <f>C9-I9-D9</f>
        <v/>
      </c>
      <c r="K9" s="6">
        <f>IF(E9=0,0,J9/E9)</f>
        <v/>
      </c>
      <c r="L9" s="20">
        <f>IF(K9+0.0000001&gt;=داخلي!$B$7,"يتحقق","أقل من الثلث")</f>
        <v/>
      </c>
    </row>
    <row r="10" ht="20" customHeight="1">
      <c r="A10" s="14" t="inlineStr">
        <is>
          <t>صابون قالب</t>
        </is>
      </c>
      <c r="B10" s="14" t="inlineStr">
        <is>
          <t>Bar Soap - Pitch White Soap 95GM</t>
        </is>
      </c>
      <c r="C10" s="15" t="n">
        <v>4.5</v>
      </c>
      <c r="D10" s="15" t="n">
        <v>1.8</v>
      </c>
      <c r="E10" s="16">
        <f>C10-D10</f>
        <v/>
      </c>
      <c r="F10" s="17">
        <f>IF(C10=0,0,E10/C10)</f>
        <v/>
      </c>
      <c r="G10" s="18">
        <f>IF(ABS(F10-داخلي!$B$8)&lt;0.0000001,"نعم","")</f>
        <v/>
      </c>
      <c r="H10" s="17">
        <f>داخلي!$B$12</f>
        <v/>
      </c>
      <c r="I10" s="19">
        <f>C10*H10</f>
        <v/>
      </c>
      <c r="J10" s="16">
        <f>C10-I10-D10</f>
        <v/>
      </c>
      <c r="K10" s="6">
        <f>IF(E10=0,0,J10/E10)</f>
        <v/>
      </c>
      <c r="L10" s="20">
        <f>IF(K10+0.0000001&gt;=داخلي!$B$7,"يتحقق","أقل من الثلث")</f>
        <v/>
      </c>
    </row>
    <row r="11" ht="20" customHeight="1">
      <c r="A11" s="14" t="inlineStr">
        <is>
          <t>صابون قالب</t>
        </is>
      </c>
      <c r="B11" s="14" t="inlineStr">
        <is>
          <t>Bar Soap - The Miracle 95gm</t>
        </is>
      </c>
      <c r="C11" s="15" t="n">
        <v>4.5</v>
      </c>
      <c r="D11" s="15" t="n">
        <v>2</v>
      </c>
      <c r="E11" s="16">
        <f>C11-D11</f>
        <v/>
      </c>
      <c r="F11" s="17">
        <f>IF(C11=0,0,E11/C11)</f>
        <v/>
      </c>
      <c r="G11" s="18">
        <f>IF(ABS(F11-داخلي!$B$8)&lt;0.0000001,"نعم","")</f>
        <v/>
      </c>
      <c r="H11" s="17">
        <f>داخلي!$B$12</f>
        <v/>
      </c>
      <c r="I11" s="19">
        <f>C11*H11</f>
        <v/>
      </c>
      <c r="J11" s="16">
        <f>C11-I11-D11</f>
        <v/>
      </c>
      <c r="K11" s="6">
        <f>IF(E11=0,0,J11/E11)</f>
        <v/>
      </c>
      <c r="L11" s="20">
        <f>IF(K11+0.0000001&gt;=داخلي!$B$7,"يتحقق","أقل من الثلث")</f>
        <v/>
      </c>
    </row>
    <row r="12" ht="20" customHeight="1">
      <c r="A12" s="14" t="inlineStr">
        <is>
          <t>مقشر جسم</t>
        </is>
      </c>
      <c r="B12" s="14" t="inlineStr">
        <is>
          <t>Body Scrub - Coffee 300ml</t>
        </is>
      </c>
      <c r="C12" s="15" t="n">
        <v>8</v>
      </c>
      <c r="D12" s="15" t="n">
        <v>2.8</v>
      </c>
      <c r="E12" s="16">
        <f>C12-D12</f>
        <v/>
      </c>
      <c r="F12" s="17">
        <f>IF(C12=0,0,E12/C12)</f>
        <v/>
      </c>
      <c r="G12" s="18">
        <f>IF(ABS(F12-داخلي!$B$8)&lt;0.0000001,"نعم","")</f>
        <v/>
      </c>
      <c r="H12" s="17">
        <f>داخلي!$B$12</f>
        <v/>
      </c>
      <c r="I12" s="19">
        <f>C12*H12</f>
        <v/>
      </c>
      <c r="J12" s="16">
        <f>C12-I12-D12</f>
        <v/>
      </c>
      <c r="K12" s="6">
        <f>IF(E12=0,0,J12/E12)</f>
        <v/>
      </c>
      <c r="L12" s="20">
        <f>IF(K12+0.0000001&gt;=داخلي!$B$7,"يتحقق","أقل من الثلث")</f>
        <v/>
      </c>
    </row>
    <row r="13" ht="20" customHeight="1">
      <c r="A13" s="14" t="inlineStr">
        <is>
          <t>مقشر جسم</t>
        </is>
      </c>
      <c r="B13" s="14" t="inlineStr">
        <is>
          <t>Body Scrub - Dovey 300ml</t>
        </is>
      </c>
      <c r="C13" s="15" t="n">
        <v>8</v>
      </c>
      <c r="D13" s="15" t="n">
        <v>2.8</v>
      </c>
      <c r="E13" s="16">
        <f>C13-D13</f>
        <v/>
      </c>
      <c r="F13" s="17">
        <f>IF(C13=0,0,E13/C13)</f>
        <v/>
      </c>
      <c r="G13" s="18">
        <f>IF(ABS(F13-داخلي!$B$8)&lt;0.0000001,"نعم","")</f>
        <v/>
      </c>
      <c r="H13" s="17">
        <f>داخلي!$B$12</f>
        <v/>
      </c>
      <c r="I13" s="19">
        <f>C13*H13</f>
        <v/>
      </c>
      <c r="J13" s="16">
        <f>C13-I13-D13</f>
        <v/>
      </c>
      <c r="K13" s="6">
        <f>IF(E13=0,0,J13/E13)</f>
        <v/>
      </c>
      <c r="L13" s="20">
        <f>IF(K13+0.0000001&gt;=داخلي!$B$7,"يتحقق","أقل من الثلث")</f>
        <v/>
      </c>
    </row>
    <row r="14" ht="20" customHeight="1">
      <c r="A14" s="14" t="inlineStr">
        <is>
          <t>مقشر جسم</t>
        </is>
      </c>
      <c r="B14" s="14" t="inlineStr">
        <is>
          <t>Body Scrub - Liligum 300ml</t>
        </is>
      </c>
      <c r="C14" s="15" t="n">
        <v>8</v>
      </c>
      <c r="D14" s="15" t="n">
        <v>2.8</v>
      </c>
      <c r="E14" s="16">
        <f>C14-D14</f>
        <v/>
      </c>
      <c r="F14" s="17">
        <f>IF(C14=0,0,E14/C14)</f>
        <v/>
      </c>
      <c r="G14" s="18">
        <f>IF(ABS(F14-داخلي!$B$8)&lt;0.0000001,"نعم","")</f>
        <v/>
      </c>
      <c r="H14" s="17">
        <f>داخلي!$B$12</f>
        <v/>
      </c>
      <c r="I14" s="19">
        <f>C14*H14</f>
        <v/>
      </c>
      <c r="J14" s="16">
        <f>C14-I14-D14</f>
        <v/>
      </c>
      <c r="K14" s="6">
        <f>IF(E14=0,0,J14/E14)</f>
        <v/>
      </c>
      <c r="L14" s="20">
        <f>IF(K14+0.0000001&gt;=داخلي!$B$7,"يتحقق","أقل من الثلث")</f>
        <v/>
      </c>
    </row>
    <row r="15" ht="20" customHeight="1">
      <c r="A15" s="14" t="inlineStr">
        <is>
          <t>مقشر جسم</t>
        </is>
      </c>
      <c r="B15" s="14" t="inlineStr">
        <is>
          <t>Body Scrub - Misk 300ml</t>
        </is>
      </c>
      <c r="C15" s="15" t="n">
        <v>8</v>
      </c>
      <c r="D15" s="15" t="n">
        <v>2.8</v>
      </c>
      <c r="E15" s="16">
        <f>C15-D15</f>
        <v/>
      </c>
      <c r="F15" s="17">
        <f>IF(C15=0,0,E15/C15)</f>
        <v/>
      </c>
      <c r="G15" s="18">
        <f>IF(ABS(F15-داخلي!$B$8)&lt;0.0000001,"نعم","")</f>
        <v/>
      </c>
      <c r="H15" s="17">
        <f>داخلي!$B$12</f>
        <v/>
      </c>
      <c r="I15" s="19">
        <f>C15*H15</f>
        <v/>
      </c>
      <c r="J15" s="16">
        <f>C15-I15-D15</f>
        <v/>
      </c>
      <c r="K15" s="6">
        <f>IF(E15=0,0,J15/E15)</f>
        <v/>
      </c>
      <c r="L15" s="20">
        <f>IF(K15+0.0000001&gt;=داخلي!$B$7,"يتحقق","أقل من الثلث")</f>
        <v/>
      </c>
    </row>
    <row r="16" ht="20" customHeight="1">
      <c r="A16" s="14" t="inlineStr">
        <is>
          <t>مقشر جسم</t>
        </is>
      </c>
      <c r="B16" s="14" t="inlineStr">
        <is>
          <t>Body Scrub - Oak 300ml</t>
        </is>
      </c>
      <c r="C16" s="15" t="n">
        <v>8</v>
      </c>
      <c r="D16" s="15" t="n">
        <v>2.8</v>
      </c>
      <c r="E16" s="16">
        <f>C16-D16</f>
        <v/>
      </c>
      <c r="F16" s="17">
        <f>IF(C16=0,0,E16/C16)</f>
        <v/>
      </c>
      <c r="G16" s="18">
        <f>IF(ABS(F16-داخلي!$B$8)&lt;0.0000001,"نعم","")</f>
        <v/>
      </c>
      <c r="H16" s="17">
        <f>داخلي!$B$12</f>
        <v/>
      </c>
      <c r="I16" s="19">
        <f>C16*H16</f>
        <v/>
      </c>
      <c r="J16" s="16">
        <f>C16-I16-D16</f>
        <v/>
      </c>
      <c r="K16" s="6">
        <f>IF(E16=0,0,J16/E16)</f>
        <v/>
      </c>
      <c r="L16" s="20">
        <f>IF(K16+0.0000001&gt;=داخلي!$B$7,"يتحقق","أقل من الثلث")</f>
        <v/>
      </c>
    </row>
    <row r="17" ht="20" customHeight="1">
      <c r="A17" s="14" t="inlineStr">
        <is>
          <t>مقشر جسم</t>
        </is>
      </c>
      <c r="B17" s="14" t="inlineStr">
        <is>
          <t>Body Scrub - Oud 300ml</t>
        </is>
      </c>
      <c r="C17" s="15" t="n">
        <v>8</v>
      </c>
      <c r="D17" s="15" t="n">
        <v>2.8</v>
      </c>
      <c r="E17" s="16">
        <f>C17-D17</f>
        <v/>
      </c>
      <c r="F17" s="17">
        <f>IF(C17=0,0,E17/C17)</f>
        <v/>
      </c>
      <c r="G17" s="18">
        <f>IF(ABS(F17-داخلي!$B$8)&lt;0.0000001,"نعم","")</f>
        <v/>
      </c>
      <c r="H17" s="17">
        <f>داخلي!$B$12</f>
        <v/>
      </c>
      <c r="I17" s="19">
        <f>C17*H17</f>
        <v/>
      </c>
      <c r="J17" s="16">
        <f>C17-I17-D17</f>
        <v/>
      </c>
      <c r="K17" s="6">
        <f>IF(E17=0,0,J17/E17)</f>
        <v/>
      </c>
      <c r="L17" s="20">
        <f>IF(K17+0.0000001&gt;=داخلي!$B$7,"يتحقق","أقل من الثلث")</f>
        <v/>
      </c>
    </row>
    <row r="18" ht="20" customHeight="1">
      <c r="A18" s="14" t="inlineStr">
        <is>
          <t>صابون سائل</t>
        </is>
      </c>
      <c r="B18" s="14" t="inlineStr">
        <is>
          <t>Liquid Soap - Dovey 300ml</t>
        </is>
      </c>
      <c r="C18" s="15" t="n">
        <v>3.5</v>
      </c>
      <c r="D18" s="15" t="n">
        <v>1.65</v>
      </c>
      <c r="E18" s="16">
        <f>C18-D18</f>
        <v/>
      </c>
      <c r="F18" s="17">
        <f>IF(C18=0,0,E18/C18)</f>
        <v/>
      </c>
      <c r="G18" s="18">
        <f>IF(ABS(F18-داخلي!$B$8)&lt;0.0000001,"نعم","")</f>
        <v/>
      </c>
      <c r="H18" s="17">
        <f>داخلي!$B$12</f>
        <v/>
      </c>
      <c r="I18" s="19">
        <f>C18*H18</f>
        <v/>
      </c>
      <c r="J18" s="16">
        <f>C18-I18-D18</f>
        <v/>
      </c>
      <c r="K18" s="6">
        <f>IF(E18=0,0,J18/E18)</f>
        <v/>
      </c>
      <c r="L18" s="20">
        <f>IF(K18+0.0000001&gt;=داخلي!$B$7,"يتحقق","أقل من الثلث")</f>
        <v/>
      </c>
    </row>
    <row r="19" ht="20" customHeight="1">
      <c r="A19" s="14" t="inlineStr">
        <is>
          <t>صابون سائل</t>
        </is>
      </c>
      <c r="B19" s="14" t="inlineStr">
        <is>
          <t>Liquid Soap - Lavender 300ml</t>
        </is>
      </c>
      <c r="C19" s="15" t="n">
        <v>3.5</v>
      </c>
      <c r="D19" s="15" t="n">
        <v>1.65</v>
      </c>
      <c r="E19" s="16">
        <f>C19-D19</f>
        <v/>
      </c>
      <c r="F19" s="17">
        <f>IF(C19=0,0,E19/C19)</f>
        <v/>
      </c>
      <c r="G19" s="18">
        <f>IF(ABS(F19-داخلي!$B$8)&lt;0.0000001,"نعم","")</f>
        <v/>
      </c>
      <c r="H19" s="17">
        <f>داخلي!$B$12</f>
        <v/>
      </c>
      <c r="I19" s="19">
        <f>C19*H19</f>
        <v/>
      </c>
      <c r="J19" s="16">
        <f>C19-I19-D19</f>
        <v/>
      </c>
      <c r="K19" s="6">
        <f>IF(E19=0,0,J19/E19)</f>
        <v/>
      </c>
      <c r="L19" s="20">
        <f>IF(K19+0.0000001&gt;=داخلي!$B$7,"يتحقق","أقل من الثلث")</f>
        <v/>
      </c>
    </row>
    <row r="20" ht="20" customHeight="1">
      <c r="A20" s="14" t="inlineStr">
        <is>
          <t>صابون سائل</t>
        </is>
      </c>
      <c r="B20" s="14" t="inlineStr">
        <is>
          <t>Liquid Soap - Misk 300ml</t>
        </is>
      </c>
      <c r="C20" s="15" t="n">
        <v>3.5</v>
      </c>
      <c r="D20" s="15" t="n">
        <v>1.65</v>
      </c>
      <c r="E20" s="16">
        <f>C20-D20</f>
        <v/>
      </c>
      <c r="F20" s="17">
        <f>IF(C20=0,0,E20/C20)</f>
        <v/>
      </c>
      <c r="G20" s="18">
        <f>IF(ABS(F20-داخلي!$B$8)&lt;0.0000001,"نعم","")</f>
        <v/>
      </c>
      <c r="H20" s="17">
        <f>داخلي!$B$12</f>
        <v/>
      </c>
      <c r="I20" s="19">
        <f>C20*H20</f>
        <v/>
      </c>
      <c r="J20" s="16">
        <f>C20-I20-D20</f>
        <v/>
      </c>
      <c r="K20" s="6">
        <f>IF(E20=0,0,J20/E20)</f>
        <v/>
      </c>
      <c r="L20" s="20">
        <f>IF(K20+0.0000001&gt;=داخلي!$B$7,"يتحقق","أقل من الثلث")</f>
        <v/>
      </c>
    </row>
    <row r="21" ht="20" customHeight="1">
      <c r="A21" s="14" t="inlineStr">
        <is>
          <t>صابون سائل</t>
        </is>
      </c>
      <c r="B21" s="14" t="inlineStr">
        <is>
          <t>Liquid Soap - Oud 300ml</t>
        </is>
      </c>
      <c r="C21" s="15" t="n">
        <v>3.5</v>
      </c>
      <c r="D21" s="15" t="n">
        <v>1.65</v>
      </c>
      <c r="E21" s="16">
        <f>C21-D21</f>
        <v/>
      </c>
      <c r="F21" s="17">
        <f>IF(C21=0,0,E21/C21)</f>
        <v/>
      </c>
      <c r="G21" s="18">
        <f>IF(ABS(F21-داخلي!$B$8)&lt;0.0000001,"نعم","")</f>
        <v/>
      </c>
      <c r="H21" s="17">
        <f>داخلي!$B$12</f>
        <v/>
      </c>
      <c r="I21" s="19">
        <f>C21*H21</f>
        <v/>
      </c>
      <c r="J21" s="16">
        <f>C21-I21-D21</f>
        <v/>
      </c>
      <c r="K21" s="6">
        <f>IF(E21=0,0,J21/E21)</f>
        <v/>
      </c>
      <c r="L21" s="20">
        <f>IF(K21+0.0000001&gt;=داخلي!$B$7,"يتحقق","أقل من الثلث")</f>
        <v/>
      </c>
    </row>
    <row r="22" ht="20" customHeight="1">
      <c r="A22" s="14" t="inlineStr">
        <is>
          <t>صابون سائل</t>
        </is>
      </c>
      <c r="B22" s="14" t="inlineStr">
        <is>
          <t>Liquid Soap - oak 300ml</t>
        </is>
      </c>
      <c r="C22" s="15" t="n">
        <v>3.5</v>
      </c>
      <c r="D22" s="15" t="n">
        <v>1.65</v>
      </c>
      <c r="E22" s="16">
        <f>C22-D22</f>
        <v/>
      </c>
      <c r="F22" s="17">
        <f>IF(C22=0,0,E22/C22)</f>
        <v/>
      </c>
      <c r="G22" s="18">
        <f>IF(ABS(F22-داخلي!$B$8)&lt;0.0000001,"نعم","")</f>
        <v/>
      </c>
      <c r="H22" s="17">
        <f>داخلي!$B$12</f>
        <v/>
      </c>
      <c r="I22" s="19">
        <f>C22*H22</f>
        <v/>
      </c>
      <c r="J22" s="16">
        <f>C22-I22-D22</f>
        <v/>
      </c>
      <c r="K22" s="6">
        <f>IF(E22=0,0,J22/E22)</f>
        <v/>
      </c>
      <c r="L22" s="20">
        <f>IF(K22+0.0000001&gt;=داخلي!$B$7,"يتحقق","أقل من الثلث")</f>
        <v/>
      </c>
    </row>
    <row r="23" ht="20" customHeight="1">
      <c r="A23" s="14" t="inlineStr">
        <is>
          <t>جل استحمام</t>
        </is>
      </c>
      <c r="B23" s="14" t="inlineStr">
        <is>
          <t>Shower Gel - Dovey 400ml</t>
        </is>
      </c>
      <c r="C23" s="15" t="n">
        <v>5</v>
      </c>
      <c r="D23" s="15" t="n">
        <v>1.95</v>
      </c>
      <c r="E23" s="16">
        <f>C23-D23</f>
        <v/>
      </c>
      <c r="F23" s="17">
        <f>IF(C23=0,0,E23/C23)</f>
        <v/>
      </c>
      <c r="G23" s="18">
        <f>IF(ABS(F23-داخلي!$B$8)&lt;0.0000001,"نعم","")</f>
        <v/>
      </c>
      <c r="H23" s="17">
        <f>داخلي!$B$12</f>
        <v/>
      </c>
      <c r="I23" s="19">
        <f>C23*H23</f>
        <v/>
      </c>
      <c r="J23" s="16">
        <f>C23-I23-D23</f>
        <v/>
      </c>
      <c r="K23" s="6">
        <f>IF(E23=0,0,J23/E23)</f>
        <v/>
      </c>
      <c r="L23" s="20">
        <f>IF(K23+0.0000001&gt;=داخلي!$B$7,"يتحقق","أقل من الثلث")</f>
        <v/>
      </c>
    </row>
    <row r="24" ht="20" customHeight="1">
      <c r="A24" s="14" t="inlineStr">
        <is>
          <t>جل استحمام</t>
        </is>
      </c>
      <c r="B24" s="14" t="inlineStr">
        <is>
          <t>Shower Gel - Liligum 400ml</t>
        </is>
      </c>
      <c r="C24" s="15" t="n">
        <v>5</v>
      </c>
      <c r="D24" s="15" t="n">
        <v>1.95</v>
      </c>
      <c r="E24" s="16">
        <f>C24-D24</f>
        <v/>
      </c>
      <c r="F24" s="17">
        <f>IF(C24=0,0,E24/C24)</f>
        <v/>
      </c>
      <c r="G24" s="18">
        <f>IF(ABS(F24-داخلي!$B$8)&lt;0.0000001,"نعم","")</f>
        <v/>
      </c>
      <c r="H24" s="17">
        <f>داخلي!$B$12</f>
        <v/>
      </c>
      <c r="I24" s="19">
        <f>C24*H24</f>
        <v/>
      </c>
      <c r="J24" s="16">
        <f>C24-I24-D24</f>
        <v/>
      </c>
      <c r="K24" s="6">
        <f>IF(E24=0,0,J24/E24)</f>
        <v/>
      </c>
      <c r="L24" s="20">
        <f>IF(K24+0.0000001&gt;=داخلي!$B$7,"يتحقق","أقل من الثلث")</f>
        <v/>
      </c>
    </row>
    <row r="25" ht="20" customHeight="1">
      <c r="A25" s="14" t="inlineStr">
        <is>
          <t>جل استحمام</t>
        </is>
      </c>
      <c r="B25" s="14" t="inlineStr">
        <is>
          <t>Shower Gel - Misk 400ml</t>
        </is>
      </c>
      <c r="C25" s="15" t="n">
        <v>5</v>
      </c>
      <c r="D25" s="15" t="n">
        <v>1.95</v>
      </c>
      <c r="E25" s="16">
        <f>C25-D25</f>
        <v/>
      </c>
      <c r="F25" s="17">
        <f>IF(C25=0,0,E25/C25)</f>
        <v/>
      </c>
      <c r="G25" s="18">
        <f>IF(ABS(F25-داخلي!$B$8)&lt;0.0000001,"نعم","")</f>
        <v/>
      </c>
      <c r="H25" s="17">
        <f>داخلي!$B$12</f>
        <v/>
      </c>
      <c r="I25" s="19">
        <f>C25*H25</f>
        <v/>
      </c>
      <c r="J25" s="16">
        <f>C25-I25-D25</f>
        <v/>
      </c>
      <c r="K25" s="6">
        <f>IF(E25=0,0,J25/E25)</f>
        <v/>
      </c>
      <c r="L25" s="20">
        <f>IF(K25+0.0000001&gt;=داخلي!$B$7,"يتحقق","أقل من الثلث")</f>
        <v/>
      </c>
    </row>
    <row r="26" ht="20" customHeight="1">
      <c r="A26" s="14" t="inlineStr">
        <is>
          <t>جل استحمام</t>
        </is>
      </c>
      <c r="B26" s="14" t="inlineStr">
        <is>
          <t>Shower Gel - Oak 400ml</t>
        </is>
      </c>
      <c r="C26" s="15" t="n">
        <v>5</v>
      </c>
      <c r="D26" s="15" t="n">
        <v>1.95</v>
      </c>
      <c r="E26" s="16">
        <f>C26-D26</f>
        <v/>
      </c>
      <c r="F26" s="17">
        <f>IF(C26=0,0,E26/C26)</f>
        <v/>
      </c>
      <c r="G26" s="18">
        <f>IF(ABS(F26-داخلي!$B$8)&lt;0.0000001,"نعم","")</f>
        <v/>
      </c>
      <c r="H26" s="17">
        <f>داخلي!$B$12</f>
        <v/>
      </c>
      <c r="I26" s="19">
        <f>C26*H26</f>
        <v/>
      </c>
      <c r="J26" s="16">
        <f>C26-I26-D26</f>
        <v/>
      </c>
      <c r="K26" s="6">
        <f>IF(E26=0,0,J26/E26)</f>
        <v/>
      </c>
      <c r="L26" s="20">
        <f>IF(K26+0.0000001&gt;=داخلي!$B$7,"يتحقق","أقل من الثلث")</f>
        <v/>
      </c>
    </row>
    <row r="27" ht="20" customHeight="1">
      <c r="A27" s="14" t="inlineStr">
        <is>
          <t>جل استحمام</t>
        </is>
      </c>
      <c r="B27" s="14" t="inlineStr">
        <is>
          <t>Shower Gel - Oud 400ml</t>
        </is>
      </c>
      <c r="C27" s="15" t="n">
        <v>5</v>
      </c>
      <c r="D27" s="15" t="n">
        <v>1.95</v>
      </c>
      <c r="E27" s="16">
        <f>C27-D27</f>
        <v/>
      </c>
      <c r="F27" s="17">
        <f>IF(C27=0,0,E27/C27)</f>
        <v/>
      </c>
      <c r="G27" s="18">
        <f>IF(ABS(F27-داخلي!$B$8)&lt;0.0000001,"نعم","")</f>
        <v/>
      </c>
      <c r="H27" s="17">
        <f>داخلي!$B$12</f>
        <v/>
      </c>
      <c r="I27" s="19">
        <f>C27*H27</f>
        <v/>
      </c>
      <c r="J27" s="16">
        <f>C27-I27-D27</f>
        <v/>
      </c>
      <c r="K27" s="6">
        <f>IF(E27=0,0,J27/E27)</f>
        <v/>
      </c>
      <c r="L27" s="20">
        <f>IF(K27+0.0000001&gt;=داخلي!$B$7,"يتحقق","أقل من الثلث")</f>
        <v/>
      </c>
    </row>
  </sheetData>
  <autoFilter ref="A3:L27"/>
  <mergeCells count="1">
    <mergeCell ref="A1:L1"/>
  </mergeCells>
  <pageMargins left="0.5" right="0.5" top="0.6" bottom="0.6" header="0.3" footer="0.3"/>
  <pageSetup orientation="landscape" paperSize="9" scale="8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0"/>
  </sheetPr>
  <dimension ref="A1:L35"/>
  <sheetViews>
    <sheetView showGridLines="1" rightToLeft="1" view="normal" zoomScale="100" zoomScaleNormal="100" workbookViewId="0">
      <pane ySplit="11" topLeftCell="A12" activePane="bottomLeft" state="frozen"/>
      <selection pane="bottomLeft" activeCell="A12" sqref="A12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6" customWidth="1" min="11" max="11"/>
    <col width="14" customWidth="1" min="12" max="12"/>
  </cols>
  <sheetData>
    <row r="1" ht="28" customHeight="1">
      <c r="A1" s="21" t="inlineStr">
        <is>
          <t>حاسبة داخلية بالكميات حسب التصنيف</t>
        </is>
      </c>
    </row>
    <row r="2" ht="28" customHeight="1">
      <c r="A2" s="22" t="inlineStr">
        <is>
          <t>الشريحة من كمية التصنيف. التكلفة هنا للتأكد أن الشريحة الثالثة تبقي ثلث الربح على الأقل.</t>
        </is>
      </c>
    </row>
    <row r="4">
      <c r="A4" s="10" t="inlineStr">
        <is>
          <t>التصنيف</t>
        </is>
      </c>
      <c r="B4" s="10" t="inlineStr">
        <is>
          <t>الكمية</t>
        </is>
      </c>
      <c r="C4" s="10" t="inlineStr">
        <is>
          <t>الشريحة</t>
        </is>
      </c>
      <c r="D4" s="10" t="inlineStr">
        <is>
          <t>المبيعات</t>
        </is>
      </c>
      <c r="E4" s="10" t="inlineStr">
        <is>
          <t>التكلفة</t>
        </is>
      </c>
      <c r="F4" s="10" t="inlineStr">
        <is>
          <t>العمولة</t>
        </is>
      </c>
      <c r="G4" s="10" t="inlineStr">
        <is>
          <t>صافي المالك</t>
        </is>
      </c>
      <c r="H4" s="10" t="inlineStr">
        <is>
          <t>حصته من الربح</t>
        </is>
      </c>
    </row>
    <row r="5">
      <c r="A5" s="4">
        <f>داخلي!A18</f>
        <v/>
      </c>
      <c r="B5" s="23">
        <f>SUMIF($B$12:$B$35,A5,$D$12:$D$35)</f>
        <v/>
      </c>
      <c r="C5" s="24">
        <f>IF(B5=0,"—",IF(B5&lt;=VLOOKUP(A5,داخلي!$A$18:$C$21,2,FALSE),"الأولى",IF(B5&lt;=VLOOKUP(A5,داخلي!$A$18:$C$21,3,FALSE),"الثانية","الثالثة")))</f>
        <v/>
      </c>
      <c r="D5" s="16">
        <f>SUMIF($B$12:$B$35,A5,$F$12:$F$35)</f>
        <v/>
      </c>
      <c r="E5" s="16">
        <f>SUMIF($B$12:$B$35,A5,$G$12:$G$35)</f>
        <v/>
      </c>
      <c r="F5" s="16">
        <f>SUMIF($B$12:$B$35,A5,$I$12:$I$35)</f>
        <v/>
      </c>
      <c r="G5" s="16">
        <f>D5-E5-F5</f>
        <v/>
      </c>
      <c r="H5" s="25">
        <f>IF(D5-E5=0,0,G5/(D5-E5))</f>
        <v/>
      </c>
    </row>
    <row r="6">
      <c r="A6" s="4">
        <f>داخلي!A19</f>
        <v/>
      </c>
      <c r="B6" s="23">
        <f>SUMIF($B$12:$B$35,A6,$D$12:$D$35)</f>
        <v/>
      </c>
      <c r="C6" s="24">
        <f>IF(B6=0,"—",IF(B6&lt;=VLOOKUP(A6,داخلي!$A$18:$C$21,2,FALSE),"الأولى",IF(B6&lt;=VLOOKUP(A6,داخلي!$A$18:$C$21,3,FALSE),"الثانية","الثالثة")))</f>
        <v/>
      </c>
      <c r="D6" s="16">
        <f>SUMIF($B$12:$B$35,A6,$F$12:$F$35)</f>
        <v/>
      </c>
      <c r="E6" s="16">
        <f>SUMIF($B$12:$B$35,A6,$G$12:$G$35)</f>
        <v/>
      </c>
      <c r="F6" s="16">
        <f>SUMIF($B$12:$B$35,A6,$I$12:$I$35)</f>
        <v/>
      </c>
      <c r="G6" s="16">
        <f>D6-E6-F6</f>
        <v/>
      </c>
      <c r="H6" s="25">
        <f>IF(D6-E6=0,0,G6/(D6-E6))</f>
        <v/>
      </c>
    </row>
    <row r="7">
      <c r="A7" s="4">
        <f>داخلي!A20</f>
        <v/>
      </c>
      <c r="B7" s="23">
        <f>SUMIF($B$12:$B$35,A7,$D$12:$D$35)</f>
        <v/>
      </c>
      <c r="C7" s="24">
        <f>IF(B7=0,"—",IF(B7&lt;=VLOOKUP(A7,داخلي!$A$18:$C$21,2,FALSE),"الأولى",IF(B7&lt;=VLOOKUP(A7,داخلي!$A$18:$C$21,3,FALSE),"الثانية","الثالثة")))</f>
        <v/>
      </c>
      <c r="D7" s="16">
        <f>SUMIF($B$12:$B$35,A7,$F$12:$F$35)</f>
        <v/>
      </c>
      <c r="E7" s="16">
        <f>SUMIF($B$12:$B$35,A7,$G$12:$G$35)</f>
        <v/>
      </c>
      <c r="F7" s="16">
        <f>SUMIF($B$12:$B$35,A7,$I$12:$I$35)</f>
        <v/>
      </c>
      <c r="G7" s="16">
        <f>D7-E7-F7</f>
        <v/>
      </c>
      <c r="H7" s="25">
        <f>IF(D7-E7=0,0,G7/(D7-E7))</f>
        <v/>
      </c>
    </row>
    <row r="8">
      <c r="A8" s="4">
        <f>داخلي!A21</f>
        <v/>
      </c>
      <c r="B8" s="23">
        <f>SUMIF($B$12:$B$35,A8,$D$12:$D$35)</f>
        <v/>
      </c>
      <c r="C8" s="24">
        <f>IF(B8=0,"—",IF(B8&lt;=VLOOKUP(A8,داخلي!$A$18:$C$21,2,FALSE),"الأولى",IF(B8&lt;=VLOOKUP(A8,داخلي!$A$18:$C$21,3,FALSE),"الثانية","الثالثة")))</f>
        <v/>
      </c>
      <c r="D8" s="16">
        <f>SUMIF($B$12:$B$35,A8,$F$12:$F$35)</f>
        <v/>
      </c>
      <c r="E8" s="16">
        <f>SUMIF($B$12:$B$35,A8,$G$12:$G$35)</f>
        <v/>
      </c>
      <c r="F8" s="16">
        <f>SUMIF($B$12:$B$35,A8,$I$12:$I$35)</f>
        <v/>
      </c>
      <c r="G8" s="16">
        <f>D8-E8-F8</f>
        <v/>
      </c>
      <c r="H8" s="25">
        <f>IF(D8-E8=0,0,G8/(D8-E8))</f>
        <v/>
      </c>
    </row>
    <row r="11" ht="32" customHeight="1">
      <c r="A11" s="10" t="inlineStr">
        <is>
          <t>المنتج</t>
        </is>
      </c>
      <c r="B11" s="10" t="inlineStr">
        <is>
          <t>التصنيف</t>
        </is>
      </c>
      <c r="C11" s="10" t="inlineStr">
        <is>
          <t>سعر البيع</t>
        </is>
      </c>
      <c r="D11" s="10" t="inlineStr">
        <is>
          <t>الكمية</t>
        </is>
      </c>
      <c r="E11" s="10" t="inlineStr">
        <is>
          <t>التكلفة للقطعة</t>
        </is>
      </c>
      <c r="F11" s="10" t="inlineStr">
        <is>
          <t>المبيعات</t>
        </is>
      </c>
      <c r="G11" s="10" t="inlineStr">
        <is>
          <t>تكلفة الكمية</t>
        </is>
      </c>
      <c r="H11" s="10" t="inlineStr">
        <is>
          <t>كمية التصنيف</t>
        </is>
      </c>
      <c r="I11" s="10" t="inlineStr">
        <is>
          <t>العمولة</t>
        </is>
      </c>
      <c r="J11" s="10" t="inlineStr">
        <is>
          <t>صافي المالك</t>
        </is>
      </c>
      <c r="K11" s="10" t="inlineStr">
        <is>
          <t>حصته من الربح</t>
        </is>
      </c>
      <c r="L11" s="10" t="inlineStr">
        <is>
          <t>الحالة</t>
        </is>
      </c>
    </row>
    <row r="12" ht="20" customHeight="1">
      <c r="A12" s="14">
        <f>المنتجات!B4</f>
        <v/>
      </c>
      <c r="B12" s="14">
        <f>المنتجات!A4</f>
        <v/>
      </c>
      <c r="C12" s="26">
        <f>المنتجات!C4</f>
        <v/>
      </c>
      <c r="D12" s="11" t="n"/>
      <c r="E12" s="26">
        <f>المنتجات!D4</f>
        <v/>
      </c>
      <c r="F12" s="16">
        <f>IF(D12="",0,D12)*C12</f>
        <v/>
      </c>
      <c r="G12" s="16">
        <f>IF(D12="",0,D12)*E12</f>
        <v/>
      </c>
      <c r="H12" s="23">
        <f>SUMIF($B$12:$B$35,B12,$D$12:$D$35)</f>
        <v/>
      </c>
      <c r="I12" s="19">
        <f>IF(H12=0,0,F12*IF(H12&lt;=VLOOKUP(B12,داخلي!$A$18:$C$21,2,FALSE),داخلي!$B$10,IF(H12&lt;=VLOOKUP(B12,داخلي!$A$18:$C$21,3,FALSE),داخلي!$B$11,داخلي!$B$12)))</f>
        <v/>
      </c>
      <c r="J12" s="16">
        <f>F12-G12-I12</f>
        <v/>
      </c>
      <c r="K12" s="17">
        <f>IF(F12-G12=0,0,J12/(F12-G12))</f>
        <v/>
      </c>
      <c r="L12" s="27">
        <f>IF(D12="", "", IF(K12+0.0000001&gt;=IF(H12&lt;=VLOOKUP(B12,داخلي!$A$18:$C$21,2,FALSE),داخلي!$B$5,IF(H12&lt;=VLOOKUP(B12,داخلي!$A$18:$C$21,3,FALSE),داخلي!$B$6,داخلي!$B$7)),"يتحقق","مراجعة"))</f>
        <v/>
      </c>
    </row>
    <row r="13" ht="20" customHeight="1">
      <c r="A13" s="14">
        <f>المنتجات!B5</f>
        <v/>
      </c>
      <c r="B13" s="14">
        <f>المنتجات!A5</f>
        <v/>
      </c>
      <c r="C13" s="26">
        <f>المنتجات!C5</f>
        <v/>
      </c>
      <c r="D13" s="11" t="n"/>
      <c r="E13" s="26">
        <f>المنتجات!D5</f>
        <v/>
      </c>
      <c r="F13" s="16">
        <f>IF(D13="",0,D13)*C13</f>
        <v/>
      </c>
      <c r="G13" s="16">
        <f>IF(D13="",0,D13)*E13</f>
        <v/>
      </c>
      <c r="H13" s="23">
        <f>SUMIF($B$12:$B$35,B13,$D$12:$D$35)</f>
        <v/>
      </c>
      <c r="I13" s="19">
        <f>IF(H13=0,0,F13*IF(H13&lt;=VLOOKUP(B13,داخلي!$A$18:$C$21,2,FALSE),داخلي!$B$10,IF(H13&lt;=VLOOKUP(B13,داخلي!$A$18:$C$21,3,FALSE),داخلي!$B$11,داخلي!$B$12)))</f>
        <v/>
      </c>
      <c r="J13" s="16">
        <f>F13-G13-I13</f>
        <v/>
      </c>
      <c r="K13" s="17">
        <f>IF(F13-G13=0,0,J13/(F13-G13))</f>
        <v/>
      </c>
      <c r="L13" s="27">
        <f>IF(D13="", "", IF(K13+0.0000001&gt;=IF(H13&lt;=VLOOKUP(B13,داخلي!$A$18:$C$21,2,FALSE),داخلي!$B$5,IF(H13&lt;=VLOOKUP(B13,داخلي!$A$18:$C$21,3,FALSE),داخلي!$B$6,داخلي!$B$7)),"يتحقق","مراجعة"))</f>
        <v/>
      </c>
    </row>
    <row r="14" ht="20" customHeight="1">
      <c r="A14" s="14">
        <f>المنتجات!B6</f>
        <v/>
      </c>
      <c r="B14" s="14">
        <f>المنتجات!A6</f>
        <v/>
      </c>
      <c r="C14" s="26">
        <f>المنتجات!C6</f>
        <v/>
      </c>
      <c r="D14" s="11" t="n"/>
      <c r="E14" s="26">
        <f>المنتجات!D6</f>
        <v/>
      </c>
      <c r="F14" s="16">
        <f>IF(D14="",0,D14)*C14</f>
        <v/>
      </c>
      <c r="G14" s="16">
        <f>IF(D14="",0,D14)*E14</f>
        <v/>
      </c>
      <c r="H14" s="23">
        <f>SUMIF($B$12:$B$35,B14,$D$12:$D$35)</f>
        <v/>
      </c>
      <c r="I14" s="19">
        <f>IF(H14=0,0,F14*IF(H14&lt;=VLOOKUP(B14,داخلي!$A$18:$C$21,2,FALSE),داخلي!$B$10,IF(H14&lt;=VLOOKUP(B14,داخلي!$A$18:$C$21,3,FALSE),داخلي!$B$11,داخلي!$B$12)))</f>
        <v/>
      </c>
      <c r="J14" s="16">
        <f>F14-G14-I14</f>
        <v/>
      </c>
      <c r="K14" s="17">
        <f>IF(F14-G14=0,0,J14/(F14-G14))</f>
        <v/>
      </c>
      <c r="L14" s="27">
        <f>IF(D14="", "", IF(K14+0.0000001&gt;=IF(H14&lt;=VLOOKUP(B14,داخلي!$A$18:$C$21,2,FALSE),داخلي!$B$5,IF(H14&lt;=VLOOKUP(B14,داخلي!$A$18:$C$21,3,FALSE),داخلي!$B$6,داخلي!$B$7)),"يتحقق","مراجعة"))</f>
        <v/>
      </c>
    </row>
    <row r="15" ht="20" customHeight="1">
      <c r="A15" s="14">
        <f>المنتجات!B7</f>
        <v/>
      </c>
      <c r="B15" s="14">
        <f>المنتجات!A7</f>
        <v/>
      </c>
      <c r="C15" s="26">
        <f>المنتجات!C7</f>
        <v/>
      </c>
      <c r="D15" s="11" t="n"/>
      <c r="E15" s="26">
        <f>المنتجات!D7</f>
        <v/>
      </c>
      <c r="F15" s="16">
        <f>IF(D15="",0,D15)*C15</f>
        <v/>
      </c>
      <c r="G15" s="16">
        <f>IF(D15="",0,D15)*E15</f>
        <v/>
      </c>
      <c r="H15" s="23">
        <f>SUMIF($B$12:$B$35,B15,$D$12:$D$35)</f>
        <v/>
      </c>
      <c r="I15" s="19">
        <f>IF(H15=0,0,F15*IF(H15&lt;=VLOOKUP(B15,داخلي!$A$18:$C$21,2,FALSE),داخلي!$B$10,IF(H15&lt;=VLOOKUP(B15,داخلي!$A$18:$C$21,3,FALSE),داخلي!$B$11,داخلي!$B$12)))</f>
        <v/>
      </c>
      <c r="J15" s="16">
        <f>F15-G15-I15</f>
        <v/>
      </c>
      <c r="K15" s="17">
        <f>IF(F15-G15=0,0,J15/(F15-G15))</f>
        <v/>
      </c>
      <c r="L15" s="27">
        <f>IF(D15="", "", IF(K15+0.0000001&gt;=IF(H15&lt;=VLOOKUP(B15,داخلي!$A$18:$C$21,2,FALSE),داخلي!$B$5,IF(H15&lt;=VLOOKUP(B15,داخلي!$A$18:$C$21,3,FALSE),داخلي!$B$6,داخلي!$B$7)),"يتحقق","مراجعة"))</f>
        <v/>
      </c>
    </row>
    <row r="16" ht="20" customHeight="1">
      <c r="A16" s="14">
        <f>المنتجات!B8</f>
        <v/>
      </c>
      <c r="B16" s="14">
        <f>المنتجات!A8</f>
        <v/>
      </c>
      <c r="C16" s="26">
        <f>المنتجات!C8</f>
        <v/>
      </c>
      <c r="D16" s="11" t="n"/>
      <c r="E16" s="26">
        <f>المنتجات!D8</f>
        <v/>
      </c>
      <c r="F16" s="16">
        <f>IF(D16="",0,D16)*C16</f>
        <v/>
      </c>
      <c r="G16" s="16">
        <f>IF(D16="",0,D16)*E16</f>
        <v/>
      </c>
      <c r="H16" s="23">
        <f>SUMIF($B$12:$B$35,B16,$D$12:$D$35)</f>
        <v/>
      </c>
      <c r="I16" s="19">
        <f>IF(H16=0,0,F16*IF(H16&lt;=VLOOKUP(B16,داخلي!$A$18:$C$21,2,FALSE),داخلي!$B$10,IF(H16&lt;=VLOOKUP(B16,داخلي!$A$18:$C$21,3,FALSE),داخلي!$B$11,داخلي!$B$12)))</f>
        <v/>
      </c>
      <c r="J16" s="16">
        <f>F16-G16-I16</f>
        <v/>
      </c>
      <c r="K16" s="17">
        <f>IF(F16-G16=0,0,J16/(F16-G16))</f>
        <v/>
      </c>
      <c r="L16" s="27">
        <f>IF(D16="", "", IF(K16+0.0000001&gt;=IF(H16&lt;=VLOOKUP(B16,داخلي!$A$18:$C$21,2,FALSE),داخلي!$B$5,IF(H16&lt;=VLOOKUP(B16,داخلي!$A$18:$C$21,3,FALSE),داخلي!$B$6,داخلي!$B$7)),"يتحقق","مراجعة"))</f>
        <v/>
      </c>
    </row>
    <row r="17" ht="20" customHeight="1">
      <c r="A17" s="14">
        <f>المنتجات!B9</f>
        <v/>
      </c>
      <c r="B17" s="14">
        <f>المنتجات!A9</f>
        <v/>
      </c>
      <c r="C17" s="26">
        <f>المنتجات!C9</f>
        <v/>
      </c>
      <c r="D17" s="11" t="n"/>
      <c r="E17" s="26">
        <f>المنتجات!D9</f>
        <v/>
      </c>
      <c r="F17" s="16">
        <f>IF(D17="",0,D17)*C17</f>
        <v/>
      </c>
      <c r="G17" s="16">
        <f>IF(D17="",0,D17)*E17</f>
        <v/>
      </c>
      <c r="H17" s="23">
        <f>SUMIF($B$12:$B$35,B17,$D$12:$D$35)</f>
        <v/>
      </c>
      <c r="I17" s="19">
        <f>IF(H17=0,0,F17*IF(H17&lt;=VLOOKUP(B17,داخلي!$A$18:$C$21,2,FALSE),داخلي!$B$10,IF(H17&lt;=VLOOKUP(B17,داخلي!$A$18:$C$21,3,FALSE),داخلي!$B$11,داخلي!$B$12)))</f>
        <v/>
      </c>
      <c r="J17" s="16">
        <f>F17-G17-I17</f>
        <v/>
      </c>
      <c r="K17" s="17">
        <f>IF(F17-G17=0,0,J17/(F17-G17))</f>
        <v/>
      </c>
      <c r="L17" s="27">
        <f>IF(D17="", "", IF(K17+0.0000001&gt;=IF(H17&lt;=VLOOKUP(B17,داخلي!$A$18:$C$21,2,FALSE),داخلي!$B$5,IF(H17&lt;=VLOOKUP(B17,داخلي!$A$18:$C$21,3,FALSE),داخلي!$B$6,داخلي!$B$7)),"يتحقق","مراجعة"))</f>
        <v/>
      </c>
    </row>
    <row r="18" ht="20" customHeight="1">
      <c r="A18" s="14">
        <f>المنتجات!B10</f>
        <v/>
      </c>
      <c r="B18" s="14">
        <f>المنتجات!A10</f>
        <v/>
      </c>
      <c r="C18" s="26">
        <f>المنتجات!C10</f>
        <v/>
      </c>
      <c r="D18" s="11" t="n"/>
      <c r="E18" s="26">
        <f>المنتجات!D10</f>
        <v/>
      </c>
      <c r="F18" s="16">
        <f>IF(D18="",0,D18)*C18</f>
        <v/>
      </c>
      <c r="G18" s="16">
        <f>IF(D18="",0,D18)*E18</f>
        <v/>
      </c>
      <c r="H18" s="23">
        <f>SUMIF($B$12:$B$35,B18,$D$12:$D$35)</f>
        <v/>
      </c>
      <c r="I18" s="19">
        <f>IF(H18=0,0,F18*IF(H18&lt;=VLOOKUP(B18,داخلي!$A$18:$C$21,2,FALSE),داخلي!$B$10,IF(H18&lt;=VLOOKUP(B18,داخلي!$A$18:$C$21,3,FALSE),داخلي!$B$11,داخلي!$B$12)))</f>
        <v/>
      </c>
      <c r="J18" s="16">
        <f>F18-G18-I18</f>
        <v/>
      </c>
      <c r="K18" s="17">
        <f>IF(F18-G18=0,0,J18/(F18-G18))</f>
        <v/>
      </c>
      <c r="L18" s="27">
        <f>IF(D18="", "", IF(K18+0.0000001&gt;=IF(H18&lt;=VLOOKUP(B18,داخلي!$A$18:$C$21,2,FALSE),داخلي!$B$5,IF(H18&lt;=VLOOKUP(B18,داخلي!$A$18:$C$21,3,FALSE),داخلي!$B$6,داخلي!$B$7)),"يتحقق","مراجعة"))</f>
        <v/>
      </c>
    </row>
    <row r="19" ht="20" customHeight="1">
      <c r="A19" s="14">
        <f>المنتجات!B11</f>
        <v/>
      </c>
      <c r="B19" s="14">
        <f>المنتجات!A11</f>
        <v/>
      </c>
      <c r="C19" s="26">
        <f>المنتجات!C11</f>
        <v/>
      </c>
      <c r="D19" s="11" t="n"/>
      <c r="E19" s="26">
        <f>المنتجات!D11</f>
        <v/>
      </c>
      <c r="F19" s="16">
        <f>IF(D19="",0,D19)*C19</f>
        <v/>
      </c>
      <c r="G19" s="16">
        <f>IF(D19="",0,D19)*E19</f>
        <v/>
      </c>
      <c r="H19" s="23">
        <f>SUMIF($B$12:$B$35,B19,$D$12:$D$35)</f>
        <v/>
      </c>
      <c r="I19" s="19">
        <f>IF(H19=0,0,F19*IF(H19&lt;=VLOOKUP(B19,داخلي!$A$18:$C$21,2,FALSE),داخلي!$B$10,IF(H19&lt;=VLOOKUP(B19,داخلي!$A$18:$C$21,3,FALSE),داخلي!$B$11,داخلي!$B$12)))</f>
        <v/>
      </c>
      <c r="J19" s="16">
        <f>F19-G19-I19</f>
        <v/>
      </c>
      <c r="K19" s="17">
        <f>IF(F19-G19=0,0,J19/(F19-G19))</f>
        <v/>
      </c>
      <c r="L19" s="27">
        <f>IF(D19="", "", IF(K19+0.0000001&gt;=IF(H19&lt;=VLOOKUP(B19,داخلي!$A$18:$C$21,2,FALSE),داخلي!$B$5,IF(H19&lt;=VLOOKUP(B19,داخلي!$A$18:$C$21,3,FALSE),داخلي!$B$6,داخلي!$B$7)),"يتحقق","مراجعة"))</f>
        <v/>
      </c>
    </row>
    <row r="20" ht="20" customHeight="1">
      <c r="A20" s="14">
        <f>المنتجات!B12</f>
        <v/>
      </c>
      <c r="B20" s="14">
        <f>المنتجات!A12</f>
        <v/>
      </c>
      <c r="C20" s="26">
        <f>المنتجات!C12</f>
        <v/>
      </c>
      <c r="D20" s="11" t="n"/>
      <c r="E20" s="26">
        <f>المنتجات!D12</f>
        <v/>
      </c>
      <c r="F20" s="16">
        <f>IF(D20="",0,D20)*C20</f>
        <v/>
      </c>
      <c r="G20" s="16">
        <f>IF(D20="",0,D20)*E20</f>
        <v/>
      </c>
      <c r="H20" s="23">
        <f>SUMIF($B$12:$B$35,B20,$D$12:$D$35)</f>
        <v/>
      </c>
      <c r="I20" s="19">
        <f>IF(H20=0,0,F20*IF(H20&lt;=VLOOKUP(B20,داخلي!$A$18:$C$21,2,FALSE),داخلي!$B$10,IF(H20&lt;=VLOOKUP(B20,داخلي!$A$18:$C$21,3,FALSE),داخلي!$B$11,داخلي!$B$12)))</f>
        <v/>
      </c>
      <c r="J20" s="16">
        <f>F20-G20-I20</f>
        <v/>
      </c>
      <c r="K20" s="17">
        <f>IF(F20-G20=0,0,J20/(F20-G20))</f>
        <v/>
      </c>
      <c r="L20" s="27">
        <f>IF(D20="", "", IF(K20+0.0000001&gt;=IF(H20&lt;=VLOOKUP(B20,داخلي!$A$18:$C$21,2,FALSE),داخلي!$B$5,IF(H20&lt;=VLOOKUP(B20,داخلي!$A$18:$C$21,3,FALSE),داخلي!$B$6,داخلي!$B$7)),"يتحقق","مراجعة"))</f>
        <v/>
      </c>
    </row>
    <row r="21" ht="20" customHeight="1">
      <c r="A21" s="14">
        <f>المنتجات!B13</f>
        <v/>
      </c>
      <c r="B21" s="14">
        <f>المنتجات!A13</f>
        <v/>
      </c>
      <c r="C21" s="26">
        <f>المنتجات!C13</f>
        <v/>
      </c>
      <c r="D21" s="11" t="n"/>
      <c r="E21" s="26">
        <f>المنتجات!D13</f>
        <v/>
      </c>
      <c r="F21" s="16">
        <f>IF(D21="",0,D21)*C21</f>
        <v/>
      </c>
      <c r="G21" s="16">
        <f>IF(D21="",0,D21)*E21</f>
        <v/>
      </c>
      <c r="H21" s="23">
        <f>SUMIF($B$12:$B$35,B21,$D$12:$D$35)</f>
        <v/>
      </c>
      <c r="I21" s="19">
        <f>IF(H21=0,0,F21*IF(H21&lt;=VLOOKUP(B21,داخلي!$A$18:$C$21,2,FALSE),داخلي!$B$10,IF(H21&lt;=VLOOKUP(B21,داخلي!$A$18:$C$21,3,FALSE),داخلي!$B$11,داخلي!$B$12)))</f>
        <v/>
      </c>
      <c r="J21" s="16">
        <f>F21-G21-I21</f>
        <v/>
      </c>
      <c r="K21" s="17">
        <f>IF(F21-G21=0,0,J21/(F21-G21))</f>
        <v/>
      </c>
      <c r="L21" s="27">
        <f>IF(D21="", "", IF(K21+0.0000001&gt;=IF(H21&lt;=VLOOKUP(B21,داخلي!$A$18:$C$21,2,FALSE),داخلي!$B$5,IF(H21&lt;=VLOOKUP(B21,داخلي!$A$18:$C$21,3,FALSE),داخلي!$B$6,داخلي!$B$7)),"يتحقق","مراجعة"))</f>
        <v/>
      </c>
    </row>
    <row r="22" ht="20" customHeight="1">
      <c r="A22" s="14">
        <f>المنتجات!B14</f>
        <v/>
      </c>
      <c r="B22" s="14">
        <f>المنتجات!A14</f>
        <v/>
      </c>
      <c r="C22" s="26">
        <f>المنتجات!C14</f>
        <v/>
      </c>
      <c r="D22" s="11" t="n"/>
      <c r="E22" s="26">
        <f>المنتجات!D14</f>
        <v/>
      </c>
      <c r="F22" s="16">
        <f>IF(D22="",0,D22)*C22</f>
        <v/>
      </c>
      <c r="G22" s="16">
        <f>IF(D22="",0,D22)*E22</f>
        <v/>
      </c>
      <c r="H22" s="23">
        <f>SUMIF($B$12:$B$35,B22,$D$12:$D$35)</f>
        <v/>
      </c>
      <c r="I22" s="19">
        <f>IF(H22=0,0,F22*IF(H22&lt;=VLOOKUP(B22,داخلي!$A$18:$C$21,2,FALSE),داخلي!$B$10,IF(H22&lt;=VLOOKUP(B22,داخلي!$A$18:$C$21,3,FALSE),داخلي!$B$11,داخلي!$B$12)))</f>
        <v/>
      </c>
      <c r="J22" s="16">
        <f>F22-G22-I22</f>
        <v/>
      </c>
      <c r="K22" s="17">
        <f>IF(F22-G22=0,0,J22/(F22-G22))</f>
        <v/>
      </c>
      <c r="L22" s="27">
        <f>IF(D22="", "", IF(K22+0.0000001&gt;=IF(H22&lt;=VLOOKUP(B22,داخلي!$A$18:$C$21,2,FALSE),داخلي!$B$5,IF(H22&lt;=VLOOKUP(B22,داخلي!$A$18:$C$21,3,FALSE),داخلي!$B$6,داخلي!$B$7)),"يتحقق","مراجعة"))</f>
        <v/>
      </c>
    </row>
    <row r="23" ht="20" customHeight="1">
      <c r="A23" s="14">
        <f>المنتجات!B15</f>
        <v/>
      </c>
      <c r="B23" s="14">
        <f>المنتجات!A15</f>
        <v/>
      </c>
      <c r="C23" s="26">
        <f>المنتجات!C15</f>
        <v/>
      </c>
      <c r="D23" s="11" t="n"/>
      <c r="E23" s="26">
        <f>المنتجات!D15</f>
        <v/>
      </c>
      <c r="F23" s="16">
        <f>IF(D23="",0,D23)*C23</f>
        <v/>
      </c>
      <c r="G23" s="16">
        <f>IF(D23="",0,D23)*E23</f>
        <v/>
      </c>
      <c r="H23" s="23">
        <f>SUMIF($B$12:$B$35,B23,$D$12:$D$35)</f>
        <v/>
      </c>
      <c r="I23" s="19">
        <f>IF(H23=0,0,F23*IF(H23&lt;=VLOOKUP(B23,داخلي!$A$18:$C$21,2,FALSE),داخلي!$B$10,IF(H23&lt;=VLOOKUP(B23,داخلي!$A$18:$C$21,3,FALSE),داخلي!$B$11,داخلي!$B$12)))</f>
        <v/>
      </c>
      <c r="J23" s="16">
        <f>F23-G23-I23</f>
        <v/>
      </c>
      <c r="K23" s="17">
        <f>IF(F23-G23=0,0,J23/(F23-G23))</f>
        <v/>
      </c>
      <c r="L23" s="27">
        <f>IF(D23="", "", IF(K23+0.0000001&gt;=IF(H23&lt;=VLOOKUP(B23,داخلي!$A$18:$C$21,2,FALSE),داخلي!$B$5,IF(H23&lt;=VLOOKUP(B23,داخلي!$A$18:$C$21,3,FALSE),داخلي!$B$6,داخلي!$B$7)),"يتحقق","مراجعة"))</f>
        <v/>
      </c>
    </row>
    <row r="24" ht="20" customHeight="1">
      <c r="A24" s="14">
        <f>المنتجات!B16</f>
        <v/>
      </c>
      <c r="B24" s="14">
        <f>المنتجات!A16</f>
        <v/>
      </c>
      <c r="C24" s="26">
        <f>المنتجات!C16</f>
        <v/>
      </c>
      <c r="D24" s="11" t="n"/>
      <c r="E24" s="26">
        <f>المنتجات!D16</f>
        <v/>
      </c>
      <c r="F24" s="16">
        <f>IF(D24="",0,D24)*C24</f>
        <v/>
      </c>
      <c r="G24" s="16">
        <f>IF(D24="",0,D24)*E24</f>
        <v/>
      </c>
      <c r="H24" s="23">
        <f>SUMIF($B$12:$B$35,B24,$D$12:$D$35)</f>
        <v/>
      </c>
      <c r="I24" s="19">
        <f>IF(H24=0,0,F24*IF(H24&lt;=VLOOKUP(B24,داخلي!$A$18:$C$21,2,FALSE),داخلي!$B$10,IF(H24&lt;=VLOOKUP(B24,داخلي!$A$18:$C$21,3,FALSE),داخلي!$B$11,داخلي!$B$12)))</f>
        <v/>
      </c>
      <c r="J24" s="16">
        <f>F24-G24-I24</f>
        <v/>
      </c>
      <c r="K24" s="17">
        <f>IF(F24-G24=0,0,J24/(F24-G24))</f>
        <v/>
      </c>
      <c r="L24" s="27">
        <f>IF(D24="", "", IF(K24+0.0000001&gt;=IF(H24&lt;=VLOOKUP(B24,داخلي!$A$18:$C$21,2,FALSE),داخلي!$B$5,IF(H24&lt;=VLOOKUP(B24,داخلي!$A$18:$C$21,3,FALSE),داخلي!$B$6,داخلي!$B$7)),"يتحقق","مراجعة"))</f>
        <v/>
      </c>
    </row>
    <row r="25" ht="20" customHeight="1">
      <c r="A25" s="14">
        <f>المنتجات!B17</f>
        <v/>
      </c>
      <c r="B25" s="14">
        <f>المنتجات!A17</f>
        <v/>
      </c>
      <c r="C25" s="26">
        <f>المنتجات!C17</f>
        <v/>
      </c>
      <c r="D25" s="11" t="n"/>
      <c r="E25" s="26">
        <f>المنتجات!D17</f>
        <v/>
      </c>
      <c r="F25" s="16">
        <f>IF(D25="",0,D25)*C25</f>
        <v/>
      </c>
      <c r="G25" s="16">
        <f>IF(D25="",0,D25)*E25</f>
        <v/>
      </c>
      <c r="H25" s="23">
        <f>SUMIF($B$12:$B$35,B25,$D$12:$D$35)</f>
        <v/>
      </c>
      <c r="I25" s="19">
        <f>IF(H25=0,0,F25*IF(H25&lt;=VLOOKUP(B25,داخلي!$A$18:$C$21,2,FALSE),داخلي!$B$10,IF(H25&lt;=VLOOKUP(B25,داخلي!$A$18:$C$21,3,FALSE),داخلي!$B$11,داخلي!$B$12)))</f>
        <v/>
      </c>
      <c r="J25" s="16">
        <f>F25-G25-I25</f>
        <v/>
      </c>
      <c r="K25" s="17">
        <f>IF(F25-G25=0,0,J25/(F25-G25))</f>
        <v/>
      </c>
      <c r="L25" s="27">
        <f>IF(D25="", "", IF(K25+0.0000001&gt;=IF(H25&lt;=VLOOKUP(B25,داخلي!$A$18:$C$21,2,FALSE),داخلي!$B$5,IF(H25&lt;=VLOOKUP(B25,داخلي!$A$18:$C$21,3,FALSE),داخلي!$B$6,داخلي!$B$7)),"يتحقق","مراجعة"))</f>
        <v/>
      </c>
    </row>
    <row r="26" ht="20" customHeight="1">
      <c r="A26" s="14">
        <f>المنتجات!B18</f>
        <v/>
      </c>
      <c r="B26" s="14">
        <f>المنتجات!A18</f>
        <v/>
      </c>
      <c r="C26" s="26">
        <f>المنتجات!C18</f>
        <v/>
      </c>
      <c r="D26" s="11" t="n"/>
      <c r="E26" s="26">
        <f>المنتجات!D18</f>
        <v/>
      </c>
      <c r="F26" s="16">
        <f>IF(D26="",0,D26)*C26</f>
        <v/>
      </c>
      <c r="G26" s="16">
        <f>IF(D26="",0,D26)*E26</f>
        <v/>
      </c>
      <c r="H26" s="23">
        <f>SUMIF($B$12:$B$35,B26,$D$12:$D$35)</f>
        <v/>
      </c>
      <c r="I26" s="19">
        <f>IF(H26=0,0,F26*IF(H26&lt;=VLOOKUP(B26,داخلي!$A$18:$C$21,2,FALSE),داخلي!$B$10,IF(H26&lt;=VLOOKUP(B26,داخلي!$A$18:$C$21,3,FALSE),داخلي!$B$11,داخلي!$B$12)))</f>
        <v/>
      </c>
      <c r="J26" s="16">
        <f>F26-G26-I26</f>
        <v/>
      </c>
      <c r="K26" s="17">
        <f>IF(F26-G26=0,0,J26/(F26-G26))</f>
        <v/>
      </c>
      <c r="L26" s="27">
        <f>IF(D26="", "", IF(K26+0.0000001&gt;=IF(H26&lt;=VLOOKUP(B26,داخلي!$A$18:$C$21,2,FALSE),داخلي!$B$5,IF(H26&lt;=VLOOKUP(B26,داخلي!$A$18:$C$21,3,FALSE),داخلي!$B$6,داخلي!$B$7)),"يتحقق","مراجعة"))</f>
        <v/>
      </c>
    </row>
    <row r="27" ht="20" customHeight="1">
      <c r="A27" s="14">
        <f>المنتجات!B19</f>
        <v/>
      </c>
      <c r="B27" s="14">
        <f>المنتجات!A19</f>
        <v/>
      </c>
      <c r="C27" s="26">
        <f>المنتجات!C19</f>
        <v/>
      </c>
      <c r="D27" s="11" t="n"/>
      <c r="E27" s="26">
        <f>المنتجات!D19</f>
        <v/>
      </c>
      <c r="F27" s="16">
        <f>IF(D27="",0,D27)*C27</f>
        <v/>
      </c>
      <c r="G27" s="16">
        <f>IF(D27="",0,D27)*E27</f>
        <v/>
      </c>
      <c r="H27" s="23">
        <f>SUMIF($B$12:$B$35,B27,$D$12:$D$35)</f>
        <v/>
      </c>
      <c r="I27" s="19">
        <f>IF(H27=0,0,F27*IF(H27&lt;=VLOOKUP(B27,داخلي!$A$18:$C$21,2,FALSE),داخلي!$B$10,IF(H27&lt;=VLOOKUP(B27,داخلي!$A$18:$C$21,3,FALSE),داخلي!$B$11,داخلي!$B$12)))</f>
        <v/>
      </c>
      <c r="J27" s="16">
        <f>F27-G27-I27</f>
        <v/>
      </c>
      <c r="K27" s="17">
        <f>IF(F27-G27=0,0,J27/(F27-G27))</f>
        <v/>
      </c>
      <c r="L27" s="27">
        <f>IF(D27="", "", IF(K27+0.0000001&gt;=IF(H27&lt;=VLOOKUP(B27,داخلي!$A$18:$C$21,2,FALSE),داخلي!$B$5,IF(H27&lt;=VLOOKUP(B27,داخلي!$A$18:$C$21,3,FALSE),داخلي!$B$6,داخلي!$B$7)),"يتحقق","مراجعة"))</f>
        <v/>
      </c>
    </row>
    <row r="28" ht="20" customHeight="1">
      <c r="A28" s="14">
        <f>المنتجات!B20</f>
        <v/>
      </c>
      <c r="B28" s="14">
        <f>المنتجات!A20</f>
        <v/>
      </c>
      <c r="C28" s="26">
        <f>المنتجات!C20</f>
        <v/>
      </c>
      <c r="D28" s="11" t="n"/>
      <c r="E28" s="26">
        <f>المنتجات!D20</f>
        <v/>
      </c>
      <c r="F28" s="16">
        <f>IF(D28="",0,D28)*C28</f>
        <v/>
      </c>
      <c r="G28" s="16">
        <f>IF(D28="",0,D28)*E28</f>
        <v/>
      </c>
      <c r="H28" s="23">
        <f>SUMIF($B$12:$B$35,B28,$D$12:$D$35)</f>
        <v/>
      </c>
      <c r="I28" s="19">
        <f>IF(H28=0,0,F28*IF(H28&lt;=VLOOKUP(B28,داخلي!$A$18:$C$21,2,FALSE),داخلي!$B$10,IF(H28&lt;=VLOOKUP(B28,داخلي!$A$18:$C$21,3,FALSE),داخلي!$B$11,داخلي!$B$12)))</f>
        <v/>
      </c>
      <c r="J28" s="16">
        <f>F28-G28-I28</f>
        <v/>
      </c>
      <c r="K28" s="17">
        <f>IF(F28-G28=0,0,J28/(F28-G28))</f>
        <v/>
      </c>
      <c r="L28" s="27">
        <f>IF(D28="", "", IF(K28+0.0000001&gt;=IF(H28&lt;=VLOOKUP(B28,داخلي!$A$18:$C$21,2,FALSE),داخلي!$B$5,IF(H28&lt;=VLOOKUP(B28,داخلي!$A$18:$C$21,3,FALSE),داخلي!$B$6,داخلي!$B$7)),"يتحقق","مراجعة"))</f>
        <v/>
      </c>
    </row>
    <row r="29" ht="20" customHeight="1">
      <c r="A29" s="14">
        <f>المنتجات!B21</f>
        <v/>
      </c>
      <c r="B29" s="14">
        <f>المنتجات!A21</f>
        <v/>
      </c>
      <c r="C29" s="26">
        <f>المنتجات!C21</f>
        <v/>
      </c>
      <c r="D29" s="11" t="n"/>
      <c r="E29" s="26">
        <f>المنتجات!D21</f>
        <v/>
      </c>
      <c r="F29" s="16">
        <f>IF(D29="",0,D29)*C29</f>
        <v/>
      </c>
      <c r="G29" s="16">
        <f>IF(D29="",0,D29)*E29</f>
        <v/>
      </c>
      <c r="H29" s="23">
        <f>SUMIF($B$12:$B$35,B29,$D$12:$D$35)</f>
        <v/>
      </c>
      <c r="I29" s="19">
        <f>IF(H29=0,0,F29*IF(H29&lt;=VLOOKUP(B29,داخلي!$A$18:$C$21,2,FALSE),داخلي!$B$10,IF(H29&lt;=VLOOKUP(B29,داخلي!$A$18:$C$21,3,FALSE),داخلي!$B$11,داخلي!$B$12)))</f>
        <v/>
      </c>
      <c r="J29" s="16">
        <f>F29-G29-I29</f>
        <v/>
      </c>
      <c r="K29" s="17">
        <f>IF(F29-G29=0,0,J29/(F29-G29))</f>
        <v/>
      </c>
      <c r="L29" s="27">
        <f>IF(D29="", "", IF(K29+0.0000001&gt;=IF(H29&lt;=VLOOKUP(B29,داخلي!$A$18:$C$21,2,FALSE),داخلي!$B$5,IF(H29&lt;=VLOOKUP(B29,داخلي!$A$18:$C$21,3,FALSE),داخلي!$B$6,داخلي!$B$7)),"يتحقق","مراجعة"))</f>
        <v/>
      </c>
    </row>
    <row r="30" ht="20" customHeight="1">
      <c r="A30" s="14">
        <f>المنتجات!B22</f>
        <v/>
      </c>
      <c r="B30" s="14">
        <f>المنتجات!A22</f>
        <v/>
      </c>
      <c r="C30" s="26">
        <f>المنتجات!C22</f>
        <v/>
      </c>
      <c r="D30" s="11" t="n"/>
      <c r="E30" s="26">
        <f>المنتجات!D22</f>
        <v/>
      </c>
      <c r="F30" s="16">
        <f>IF(D30="",0,D30)*C30</f>
        <v/>
      </c>
      <c r="G30" s="16">
        <f>IF(D30="",0,D30)*E30</f>
        <v/>
      </c>
      <c r="H30" s="23">
        <f>SUMIF($B$12:$B$35,B30,$D$12:$D$35)</f>
        <v/>
      </c>
      <c r="I30" s="19">
        <f>IF(H30=0,0,F30*IF(H30&lt;=VLOOKUP(B30,داخلي!$A$18:$C$21,2,FALSE),داخلي!$B$10,IF(H30&lt;=VLOOKUP(B30,داخلي!$A$18:$C$21,3,FALSE),داخلي!$B$11,داخلي!$B$12)))</f>
        <v/>
      </c>
      <c r="J30" s="16">
        <f>F30-G30-I30</f>
        <v/>
      </c>
      <c r="K30" s="17">
        <f>IF(F30-G30=0,0,J30/(F30-G30))</f>
        <v/>
      </c>
      <c r="L30" s="27">
        <f>IF(D30="", "", IF(K30+0.0000001&gt;=IF(H30&lt;=VLOOKUP(B30,داخلي!$A$18:$C$21,2,FALSE),داخلي!$B$5,IF(H30&lt;=VLOOKUP(B30,داخلي!$A$18:$C$21,3,FALSE),داخلي!$B$6,داخلي!$B$7)),"يتحقق","مراجعة"))</f>
        <v/>
      </c>
    </row>
    <row r="31" ht="20" customHeight="1">
      <c r="A31" s="14">
        <f>المنتجات!B23</f>
        <v/>
      </c>
      <c r="B31" s="14">
        <f>المنتجات!A23</f>
        <v/>
      </c>
      <c r="C31" s="26">
        <f>المنتجات!C23</f>
        <v/>
      </c>
      <c r="D31" s="11" t="n"/>
      <c r="E31" s="26">
        <f>المنتجات!D23</f>
        <v/>
      </c>
      <c r="F31" s="16">
        <f>IF(D31="",0,D31)*C31</f>
        <v/>
      </c>
      <c r="G31" s="16">
        <f>IF(D31="",0,D31)*E31</f>
        <v/>
      </c>
      <c r="H31" s="23">
        <f>SUMIF($B$12:$B$35,B31,$D$12:$D$35)</f>
        <v/>
      </c>
      <c r="I31" s="19">
        <f>IF(H31=0,0,F31*IF(H31&lt;=VLOOKUP(B31,داخلي!$A$18:$C$21,2,FALSE),داخلي!$B$10,IF(H31&lt;=VLOOKUP(B31,داخلي!$A$18:$C$21,3,FALSE),داخلي!$B$11,داخلي!$B$12)))</f>
        <v/>
      </c>
      <c r="J31" s="16">
        <f>F31-G31-I31</f>
        <v/>
      </c>
      <c r="K31" s="17">
        <f>IF(F31-G31=0,0,J31/(F31-G31))</f>
        <v/>
      </c>
      <c r="L31" s="27">
        <f>IF(D31="", "", IF(K31+0.0000001&gt;=IF(H31&lt;=VLOOKUP(B31,داخلي!$A$18:$C$21,2,FALSE),داخلي!$B$5,IF(H31&lt;=VLOOKUP(B31,داخلي!$A$18:$C$21,3,FALSE),داخلي!$B$6,داخلي!$B$7)),"يتحقق","مراجعة"))</f>
        <v/>
      </c>
    </row>
    <row r="32" ht="20" customHeight="1">
      <c r="A32" s="14">
        <f>المنتجات!B24</f>
        <v/>
      </c>
      <c r="B32" s="14">
        <f>المنتجات!A24</f>
        <v/>
      </c>
      <c r="C32" s="26">
        <f>المنتجات!C24</f>
        <v/>
      </c>
      <c r="D32" s="11" t="n"/>
      <c r="E32" s="26">
        <f>المنتجات!D24</f>
        <v/>
      </c>
      <c r="F32" s="16">
        <f>IF(D32="",0,D32)*C32</f>
        <v/>
      </c>
      <c r="G32" s="16">
        <f>IF(D32="",0,D32)*E32</f>
        <v/>
      </c>
      <c r="H32" s="23">
        <f>SUMIF($B$12:$B$35,B32,$D$12:$D$35)</f>
        <v/>
      </c>
      <c r="I32" s="19">
        <f>IF(H32=0,0,F32*IF(H32&lt;=VLOOKUP(B32,داخلي!$A$18:$C$21,2,FALSE),داخلي!$B$10,IF(H32&lt;=VLOOKUP(B32,داخلي!$A$18:$C$21,3,FALSE),داخلي!$B$11,داخلي!$B$12)))</f>
        <v/>
      </c>
      <c r="J32" s="16">
        <f>F32-G32-I32</f>
        <v/>
      </c>
      <c r="K32" s="17">
        <f>IF(F32-G32=0,0,J32/(F32-G32))</f>
        <v/>
      </c>
      <c r="L32" s="27">
        <f>IF(D32="", "", IF(K32+0.0000001&gt;=IF(H32&lt;=VLOOKUP(B32,داخلي!$A$18:$C$21,2,FALSE),داخلي!$B$5,IF(H32&lt;=VLOOKUP(B32,داخلي!$A$18:$C$21,3,FALSE),داخلي!$B$6,داخلي!$B$7)),"يتحقق","مراجعة"))</f>
        <v/>
      </c>
    </row>
    <row r="33" ht="20" customHeight="1">
      <c r="A33" s="14">
        <f>المنتجات!B25</f>
        <v/>
      </c>
      <c r="B33" s="14">
        <f>المنتجات!A25</f>
        <v/>
      </c>
      <c r="C33" s="26">
        <f>المنتجات!C25</f>
        <v/>
      </c>
      <c r="D33" s="11" t="n"/>
      <c r="E33" s="26">
        <f>المنتجات!D25</f>
        <v/>
      </c>
      <c r="F33" s="16">
        <f>IF(D33="",0,D33)*C33</f>
        <v/>
      </c>
      <c r="G33" s="16">
        <f>IF(D33="",0,D33)*E33</f>
        <v/>
      </c>
      <c r="H33" s="23">
        <f>SUMIF($B$12:$B$35,B33,$D$12:$D$35)</f>
        <v/>
      </c>
      <c r="I33" s="19">
        <f>IF(H33=0,0,F33*IF(H33&lt;=VLOOKUP(B33,داخلي!$A$18:$C$21,2,FALSE),داخلي!$B$10,IF(H33&lt;=VLOOKUP(B33,داخلي!$A$18:$C$21,3,FALSE),داخلي!$B$11,داخلي!$B$12)))</f>
        <v/>
      </c>
      <c r="J33" s="16">
        <f>F33-G33-I33</f>
        <v/>
      </c>
      <c r="K33" s="17">
        <f>IF(F33-G33=0,0,J33/(F33-G33))</f>
        <v/>
      </c>
      <c r="L33" s="27">
        <f>IF(D33="", "", IF(K33+0.0000001&gt;=IF(H33&lt;=VLOOKUP(B33,داخلي!$A$18:$C$21,2,FALSE),داخلي!$B$5,IF(H33&lt;=VLOOKUP(B33,داخلي!$A$18:$C$21,3,FALSE),داخلي!$B$6,داخلي!$B$7)),"يتحقق","مراجعة"))</f>
        <v/>
      </c>
    </row>
    <row r="34" ht="20" customHeight="1">
      <c r="A34" s="14">
        <f>المنتجات!B26</f>
        <v/>
      </c>
      <c r="B34" s="14">
        <f>المنتجات!A26</f>
        <v/>
      </c>
      <c r="C34" s="26">
        <f>المنتجات!C26</f>
        <v/>
      </c>
      <c r="D34" s="11" t="n"/>
      <c r="E34" s="26">
        <f>المنتجات!D26</f>
        <v/>
      </c>
      <c r="F34" s="16">
        <f>IF(D34="",0,D34)*C34</f>
        <v/>
      </c>
      <c r="G34" s="16">
        <f>IF(D34="",0,D34)*E34</f>
        <v/>
      </c>
      <c r="H34" s="23">
        <f>SUMIF($B$12:$B$35,B34,$D$12:$D$35)</f>
        <v/>
      </c>
      <c r="I34" s="19">
        <f>IF(H34=0,0,F34*IF(H34&lt;=VLOOKUP(B34,داخلي!$A$18:$C$21,2,FALSE),داخلي!$B$10,IF(H34&lt;=VLOOKUP(B34,داخلي!$A$18:$C$21,3,FALSE),داخلي!$B$11,داخلي!$B$12)))</f>
        <v/>
      </c>
      <c r="J34" s="16">
        <f>F34-G34-I34</f>
        <v/>
      </c>
      <c r="K34" s="17">
        <f>IF(F34-G34=0,0,J34/(F34-G34))</f>
        <v/>
      </c>
      <c r="L34" s="27">
        <f>IF(D34="", "", IF(K34+0.0000001&gt;=IF(H34&lt;=VLOOKUP(B34,داخلي!$A$18:$C$21,2,FALSE),داخلي!$B$5,IF(H34&lt;=VLOOKUP(B34,داخلي!$A$18:$C$21,3,FALSE),داخلي!$B$6,داخلي!$B$7)),"يتحقق","مراجعة"))</f>
        <v/>
      </c>
    </row>
    <row r="35" ht="20" customHeight="1">
      <c r="A35" s="14">
        <f>المنتجات!B27</f>
        <v/>
      </c>
      <c r="B35" s="14">
        <f>المنتجات!A27</f>
        <v/>
      </c>
      <c r="C35" s="26">
        <f>المنتجات!C27</f>
        <v/>
      </c>
      <c r="D35" s="11" t="n"/>
      <c r="E35" s="26">
        <f>المنتجات!D27</f>
        <v/>
      </c>
      <c r="F35" s="16">
        <f>IF(D35="",0,D35)*C35</f>
        <v/>
      </c>
      <c r="G35" s="16">
        <f>IF(D35="",0,D35)*E35</f>
        <v/>
      </c>
      <c r="H35" s="23">
        <f>SUMIF($B$12:$B$35,B35,$D$12:$D$35)</f>
        <v/>
      </c>
      <c r="I35" s="19">
        <f>IF(H35=0,0,F35*IF(H35&lt;=VLOOKUP(B35,داخلي!$A$18:$C$21,2,FALSE),داخلي!$B$10,IF(H35&lt;=VLOOKUP(B35,داخلي!$A$18:$C$21,3,FALSE),داخلي!$B$11,داخلي!$B$12)))</f>
        <v/>
      </c>
      <c r="J35" s="16">
        <f>F35-G35-I35</f>
        <v/>
      </c>
      <c r="K35" s="17">
        <f>IF(F35-G35=0,0,J35/(F35-G35))</f>
        <v/>
      </c>
      <c r="L35" s="27">
        <f>IF(D35="", "", IF(K35+0.0000001&gt;=IF(H35&lt;=VLOOKUP(B35,داخلي!$A$18:$C$21,2,FALSE),داخلي!$B$5,IF(H35&lt;=VLOOKUP(B35,داخلي!$A$18:$C$21,3,FALSE),داخلي!$B$6,داخلي!$B$7)),"يتحقق","مراجعة"))</f>
        <v/>
      </c>
    </row>
  </sheetData>
  <mergeCells count="2">
    <mergeCell ref="A2:L2"/>
    <mergeCell ref="A1:L1"/>
  </mergeCells>
  <dataValidations count="1">
    <dataValidation sqref="D12:D35" showDropDown="0" showInputMessage="0" showErrorMessage="0" allowBlank="1" type="whole" operator="greaterThanOrEqual">
      <formula1>0</formula1>
    </dataValidation>
  </dataValidations>
  <pageMargins left="0.5" right="0.5" top="0.6" bottom="0.6" header="0.3" footer="0.3"/>
  <pageSetup orientation="landscape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خطة داخلية للصابون</dc:title>
  <dc:subject>فيها التكلفة ولا تُرسل للموزع</dc:subject>
  <dcterms:created xsi:type="dcterms:W3CDTF">2026-10-12T15:27:54Z</dcterms:created>
  <dcterms:modified xsi:type="dcterms:W3CDTF">2026-10-12T15:27:54Z</dcterms:modified>
</cp:coreProperties>
</file>