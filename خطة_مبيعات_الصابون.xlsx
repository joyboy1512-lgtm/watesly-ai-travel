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الخطة" sheetId="1" state="visible" r:id="rId1"/>
    <sheet name="الإعدادات" sheetId="2" state="visible" r:id="rId2"/>
    <sheet name="المنتجات" sheetId="3" state="visible" r:id="rId3"/>
    <sheet name="الحاسبة" sheetId="4" state="visible" r:id="rId4"/>
  </sheets>
  <definedNames>
    <definedName name="_xlnm._FilterDatabase" localSheetId="2" hidden="1">'المنتجات'!$A$3:$T$27</definedName>
    <definedName name="_xlnm._FilterDatabase" localSheetId="3" hidden="1">'الحاسبة'!$A$15:$L$39</definedName>
  </definedNames>
  <calcPr calcId="124519" calcMode="auto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000000"/>
      <sz val="11"/>
    </font>
    <font>
      <name val="Calibri"/>
      <b val="1"/>
      <color rgb="00FFFFFF"/>
      <sz val="11"/>
    </font>
    <font>
      <name val="Calibri"/>
      <color rgb="00000000"/>
      <sz val="12"/>
    </font>
    <font>
      <name val="Calibri"/>
      <b val="1"/>
      <color rgb="00000000"/>
      <sz val="12"/>
    </font>
    <font>
      <name val="Calibri"/>
      <b val="1"/>
      <color rgb="00FFFFFF"/>
      <sz val="18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1F4E79"/>
      <sz val="12"/>
    </font>
  </fonts>
  <fills count="14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0D7377"/>
      </patternFill>
    </fill>
    <fill>
      <patternFill patternType="solid">
        <fgColor rgb="007F6000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E6F4F1"/>
      </patternFill>
    </fill>
    <fill>
      <patternFill patternType="solid">
        <fgColor rgb="00E2EFDA"/>
      </patternFill>
    </fill>
    <fill>
      <patternFill patternType="solid">
        <fgColor rgb="00FDE9D9"/>
      </patternFill>
    </fill>
    <fill>
      <patternFill patternType="solid">
        <fgColor rgb="00F7F9F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right" vertical="center" wrapText="1"/>
    </xf>
    <xf numFmtId="10" fontId="5" fillId="8" borderId="1" applyAlignment="1" pivotButton="0" quotePrefix="0" xfId="0">
      <alignment horizontal="center" vertical="center" wrapText="1"/>
    </xf>
    <xf numFmtId="10" fontId="5" fillId="10" borderId="1" applyAlignment="1" pivotButton="0" quotePrefix="0" xfId="0">
      <alignment horizontal="center" vertical="center" wrapText="1"/>
    </xf>
    <xf numFmtId="1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7" borderId="1" applyAlignment="1" pivotButton="0" quotePrefix="0" xfId="0">
      <alignment horizontal="right" vertical="center" wrapText="1"/>
    </xf>
    <xf numFmtId="4" fontId="4" fillId="8" borderId="1" applyAlignment="1" pivotButton="0" quotePrefix="0" xfId="0">
      <alignment horizontal="center" vertical="center" wrapText="1"/>
    </xf>
    <xf numFmtId="10" fontId="4" fillId="8" borderId="1" applyAlignment="1" pivotButton="0" quotePrefix="0" xfId="0">
      <alignment horizontal="center" vertical="center" wrapText="1"/>
    </xf>
    <xf numFmtId="4" fontId="4" fillId="10" borderId="1" applyAlignment="1" pivotButton="0" quotePrefix="0" xfId="0">
      <alignment horizontal="center" vertical="center" wrapText="1"/>
    </xf>
    <xf numFmtId="4" fontId="4" fillId="7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right" vertical="center" wrapText="1"/>
    </xf>
    <xf numFmtId="0" fontId="5" fillId="12" borderId="1" applyAlignment="1" pivotButton="0" quotePrefix="0" xfId="0">
      <alignment horizontal="right" vertical="center" wrapText="1"/>
    </xf>
    <xf numFmtId="1" fontId="4" fillId="8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1" fontId="8" fillId="3" borderId="1" applyAlignment="1" pivotButton="0" quotePrefix="0" xfId="0">
      <alignment horizontal="center" vertical="center" wrapText="1"/>
    </xf>
    <xf numFmtId="4" fontId="8" fillId="3" borderId="1" applyAlignment="1" pivotButton="0" quotePrefix="0" xfId="0">
      <alignment horizontal="center" vertical="center" wrapText="1"/>
    </xf>
    <xf numFmtId="10" fontId="8" fillId="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right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right" vertical="center" wrapText="1"/>
    </xf>
    <xf numFmtId="1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right" vertical="center" wrapText="1"/>
    </xf>
    <xf numFmtId="1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right" vertical="center" wrapText="1"/>
    </xf>
    <xf numFmtId="3" fontId="4" fillId="9" borderId="1" applyAlignment="1" pivotButton="0" quotePrefix="0" xfId="0">
      <alignment horizontal="center" vertical="center" wrapText="1"/>
    </xf>
    <xf numFmtId="3" fontId="4" fillId="7" borderId="1" applyAlignment="1" pivotButton="0" quotePrefix="0" xfId="0">
      <alignment horizontal="center" vertical="center" wrapText="1"/>
    </xf>
    <xf numFmtId="3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10" fontId="9" fillId="8" borderId="1" applyAlignment="1" pivotButton="0" quotePrefix="0" xfId="0">
      <alignment horizontal="center" vertical="center" wrapText="1"/>
    </xf>
    <xf numFmtId="1" fontId="9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10" fontId="4" fillId="7" borderId="1" applyAlignment="1" pivotButton="0" quotePrefix="0" xfId="0">
      <alignment horizontal="center" vertical="center" wrapText="1"/>
    </xf>
    <xf numFmtId="4" fontId="4" fillId="2" borderId="1" applyAlignment="1" pivotButton="0" quotePrefix="0" xfId="0">
      <alignment horizontal="center" vertical="center" wrapText="1"/>
    </xf>
    <xf numFmtId="4" fontId="9" fillId="8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0" fontId="9" fillId="7" borderId="1" applyAlignment="1" pivotButton="0" quotePrefix="0" xfId="0">
      <alignment horizontal="center" vertical="center" wrapText="1"/>
    </xf>
    <xf numFmtId="4" fontId="4" fillId="9" borderId="1" applyAlignment="1" pivotButton="0" quotePrefix="0" xfId="0">
      <alignment horizontal="center" vertical="center" wrapText="1"/>
    </xf>
    <xf numFmtId="1" fontId="4" fillId="7" borderId="1" applyAlignment="1" pivotButton="0" quotePrefix="0" xfId="0">
      <alignment horizontal="center" vertical="center" wrapText="1"/>
    </xf>
    <xf numFmtId="4" fontId="5" fillId="11" borderId="1" applyAlignment="1" pivotButton="0" quotePrefix="0" xfId="0">
      <alignment horizontal="center" vertical="center" wrapText="1"/>
    </xf>
    <xf numFmtId="10" fontId="5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name val="Calibri"/>
        <b val="1"/>
        <color rgb="007F6000"/>
        <sz val="12"/>
      </font>
      <fill>
        <patternFill patternType="solid">
          <fgColor rgb="00F4B18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7377"/>
    <outlinePr summaryBelow="1" summaryRight="1"/>
    <pageSetUpPr fitToPage="0"/>
  </sheetPr>
  <dimension ref="A1:G36"/>
  <sheetViews>
    <sheetView showGridLines="1" rightToLeft="1" view="normal" zoomScale="100" zoomScaleNormal="100"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42" customWidth="1" min="3" max="3"/>
    <col width="28" customWidth="1" min="4" max="4"/>
    <col width="18" customWidth="1" min="5" max="5"/>
    <col width="16" customWidth="1" min="6" max="6"/>
    <col width="16" customWidth="1" min="7" max="7"/>
  </cols>
  <sheetData>
    <row r="1" ht="32" customHeight="1">
      <c r="A1" s="1" t="inlineStr">
        <is>
          <t>خطة مبيعات الصابون — ثلاث شرائح للشركة التي تبيع نيابة عنك</t>
        </is>
      </c>
    </row>
    <row r="2" ht="32" customHeight="1">
      <c r="A2" s="2" t="inlineStr">
        <is>
          <t>الشركة تأخذ عمولة من سعر البيع. كلما ارتفعت المبيعات الشهرية ارتفعت نسبتها. في الشريحة العليا يبقى لك ثلث الربح على الأقل، والربح هو سعر البيع ناقص التكلفة.</t>
        </is>
      </c>
    </row>
    <row r="3">
      <c r="A3" s="3" t="inlineStr">
        <is>
          <t>الأرقام أدناه دوال مرتبطة بورقة الإعدادات وورقة المنتجات. غيّر الحصة أو حدود المبيعات من الخلايا الصفراء في الإعدادات.</t>
        </is>
      </c>
    </row>
    <row r="5">
      <c r="A5" s="4" t="inlineStr">
        <is>
          <t>البيان</t>
        </is>
      </c>
      <c r="B5" s="5" t="inlineStr">
        <is>
          <t>الشريحة الأساسية</t>
        </is>
      </c>
      <c r="C5" s="6" t="inlineStr">
        <is>
          <t>الشريحة المتوسطة</t>
        </is>
      </c>
      <c r="D5" s="7" t="inlineStr">
        <is>
          <t>الشريحة العليا</t>
        </is>
      </c>
    </row>
    <row r="6" ht="22" customHeight="1">
      <c r="A6" s="8" t="inlineStr">
        <is>
          <t>حصتك من الربح</t>
        </is>
      </c>
      <c r="B6" s="9">
        <f>الإعدادات!B6</f>
        <v/>
      </c>
      <c r="C6" s="10">
        <f>الإعدادات!B7</f>
        <v/>
      </c>
      <c r="D6" s="11">
        <f>الإعدادات!B8</f>
        <v/>
      </c>
    </row>
    <row r="7" ht="22" customHeight="1">
      <c r="A7" s="8" t="inlineStr">
        <is>
          <t>حصة الشركة من الربح</t>
        </is>
      </c>
      <c r="B7" s="9">
        <f>الإعدادات!C6</f>
        <v/>
      </c>
      <c r="C7" s="10">
        <f>الإعدادات!C7</f>
        <v/>
      </c>
      <c r="D7" s="11">
        <f>الإعدادات!C8</f>
        <v/>
      </c>
    </row>
    <row r="8" ht="22" customHeight="1">
      <c r="A8" s="8" t="inlineStr">
        <is>
          <t>قيمة المبيعات الشهرية</t>
        </is>
      </c>
      <c r="B8" s="12">
        <f>"حتى "&amp;TEXT(الإعدادات!C12,"#,##0")</f>
        <v/>
      </c>
      <c r="C8" s="13">
        <f>"أكثر من "&amp;TEXT(الإعدادات!C12,"#,##0")&amp;" وحتى "&amp;TEXT(الإعدادات!C13,"#,##0")</f>
        <v/>
      </c>
      <c r="D8" s="14">
        <f>"أكثر من "&amp;TEXT(الإعدادات!C13,"#,##0")</f>
        <v/>
      </c>
    </row>
    <row r="9" ht="22" customHeight="1">
      <c r="A9" s="8" t="inlineStr">
        <is>
          <t>العمولة من سعر البيع (الوضع الموحد)</t>
        </is>
      </c>
      <c r="B9" s="9">
        <f>الإعدادات!B23</f>
        <v/>
      </c>
      <c r="C9" s="10">
        <f>الإعدادات!B24</f>
        <v/>
      </c>
      <c r="D9" s="11">
        <f>الإعدادات!B25</f>
        <v/>
      </c>
    </row>
    <row r="11">
      <c r="A11" s="7" t="inlineStr">
        <is>
          <t>المنتج الذي يضع سقف العمولة</t>
        </is>
      </c>
      <c r="B11" s="15" t="n"/>
      <c r="C11" s="15" t="n"/>
      <c r="D11" s="16" t="n"/>
    </row>
    <row r="12" ht="22" customHeight="1">
      <c r="A12" s="8" t="inlineStr">
        <is>
          <t>المنتج</t>
        </is>
      </c>
      <c r="B12" s="17">
        <f>الإعدادات!B22</f>
        <v/>
      </c>
      <c r="C12" s="15" t="n"/>
      <c r="D12" s="16" t="n"/>
    </row>
    <row r="13" ht="22" customHeight="1">
      <c r="A13" s="8" t="inlineStr">
        <is>
          <t>سعر البيع</t>
        </is>
      </c>
      <c r="B13" s="18">
        <f>VLOOKUP(B12,المنتجات!B4:D27,2,FALSE)</f>
        <v/>
      </c>
      <c r="C13" s="8" t="inlineStr">
        <is>
          <t>التكلفة</t>
        </is>
      </c>
      <c r="D13" s="18">
        <f>VLOOKUP(B12,المنتجات!B4:D27,3,FALSE)</f>
        <v/>
      </c>
    </row>
    <row r="14" ht="22" customHeight="1">
      <c r="A14" s="8" t="inlineStr">
        <is>
          <t>الربح</t>
        </is>
      </c>
      <c r="B14" s="18">
        <f>B13-D13</f>
        <v/>
      </c>
      <c r="C14" s="8" t="inlineStr">
        <is>
          <t>هامش الربح</t>
        </is>
      </c>
      <c r="D14" s="19">
        <f>IF(B13=0,0,B14/B13)</f>
        <v/>
      </c>
    </row>
    <row r="16">
      <c r="A16" s="4" t="inlineStr">
        <is>
          <t>على قطعة واحدة من منتج السقف</t>
        </is>
      </c>
      <c r="B16" s="15" t="n"/>
      <c r="C16" s="15" t="n"/>
      <c r="D16" s="16" t="n"/>
    </row>
    <row r="17">
      <c r="A17" s="4" t="inlineStr">
        <is>
          <t>على منتج السقف</t>
        </is>
      </c>
      <c r="B17" s="5" t="inlineStr">
        <is>
          <t>الأساسية</t>
        </is>
      </c>
      <c r="C17" s="6" t="inlineStr">
        <is>
          <t>المتوسطة</t>
        </is>
      </c>
      <c r="D17" s="7" t="inlineStr">
        <is>
          <t>العليا</t>
        </is>
      </c>
    </row>
    <row r="18" ht="22" customHeight="1">
      <c r="A18" s="8" t="inlineStr">
        <is>
          <t>عمولة الشركة للقطعة</t>
        </is>
      </c>
      <c r="B18" s="18">
        <f>VLOOKUP($B$12,المنتجات!$B$4:$T$27,8,FALSE)</f>
        <v/>
      </c>
      <c r="C18" s="20">
        <f>VLOOKUP($B$12,المنتجات!$B$4:$T$27,12,FALSE)</f>
        <v/>
      </c>
      <c r="D18" s="21">
        <f>VLOOKUP($B$12,المنتجات!$B$4:$T$27,16,FALSE)</f>
        <v/>
      </c>
    </row>
    <row r="19" ht="22" customHeight="1">
      <c r="A19" s="8" t="inlineStr">
        <is>
          <t>ما يبقى لك من القطعة</t>
        </is>
      </c>
      <c r="B19" s="18">
        <f>VLOOKUP($B$12,المنتجات!$B$4:$T$27,9,FALSE)</f>
        <v/>
      </c>
      <c r="C19" s="20">
        <f>VLOOKUP($B$12,المنتجات!$B$4:$T$27,13,FALSE)</f>
        <v/>
      </c>
      <c r="D19" s="21">
        <f>VLOOKUP($B$12,المنتجات!$B$4:$T$27,17,FALSE)</f>
        <v/>
      </c>
    </row>
    <row r="20" ht="22" customHeight="1">
      <c r="A20" s="8" t="inlineStr">
        <is>
          <t>حصتك من ربح القطعة</t>
        </is>
      </c>
      <c r="B20" s="9">
        <f>VLOOKUP($B$12,المنتجات!$B$4:$T$27,10,FALSE)</f>
        <v/>
      </c>
      <c r="C20" s="10">
        <f>VLOOKUP($B$12,المنتجات!$B$4:$T$27,14,FALSE)</f>
        <v/>
      </c>
      <c r="D20" s="11">
        <f>VLOOKUP($B$12,المنتجات!$B$4:$T$27,18,FALSE)</f>
        <v/>
      </c>
    </row>
    <row r="22">
      <c r="A22" s="6" t="inlineStr">
        <is>
          <t>مقارنة مع مقشر الجسم (أعلى هامش) — نفس نسب الخطة</t>
        </is>
      </c>
      <c r="B22" s="15" t="n"/>
      <c r="C22" s="15" t="n"/>
      <c r="D22" s="16" t="n"/>
    </row>
    <row r="23" ht="22" customHeight="1">
      <c r="A23" s="8" t="inlineStr">
        <is>
          <t>المنتج</t>
        </is>
      </c>
      <c r="B23" s="22" t="inlineStr">
        <is>
          <t>Body Scrub - Coffee 300ml</t>
        </is>
      </c>
      <c r="C23" s="15" t="n"/>
      <c r="D23" s="16" t="n"/>
    </row>
    <row r="24" ht="22" customHeight="1">
      <c r="A24" s="8" t="inlineStr">
        <is>
          <t>حصتك من الربح في الشريحة العليا</t>
        </is>
      </c>
      <c r="B24" s="11">
        <f>VLOOKUP(B23,المنتجات!$B$4:$T$27,18,FALSE)</f>
        <v/>
      </c>
      <c r="C24" s="8" t="inlineStr">
        <is>
          <t>عمولة العليا للقطعة</t>
        </is>
      </c>
      <c r="D24" s="21">
        <f>VLOOKUP(B23,المنتجات!$B$4:$T$27,16,FALSE)</f>
        <v/>
      </c>
    </row>
    <row r="26">
      <c r="A26" s="4" t="inlineStr">
        <is>
          <t>ملخص التصنيفات — لو بيعت وحدة واحدة من كل صنف داخل التصنيف</t>
        </is>
      </c>
      <c r="B26" s="15" t="n"/>
      <c r="C26" s="15" t="n"/>
      <c r="D26" s="15" t="n"/>
      <c r="E26" s="15" t="n"/>
      <c r="F26" s="15" t="n"/>
      <c r="G26" s="16" t="n"/>
    </row>
    <row r="27">
      <c r="A27" s="4" t="inlineStr">
        <is>
          <t>التصنيف</t>
        </is>
      </c>
      <c r="B27" s="4" t="inlineStr">
        <is>
          <t>عدد الأصناف</t>
        </is>
      </c>
      <c r="C27" s="4" t="inlineStr">
        <is>
          <t>مجموع سعر البيع</t>
        </is>
      </c>
      <c r="D27" s="4" t="inlineStr">
        <is>
          <t>مجموع التكلفة</t>
        </is>
      </c>
      <c r="E27" s="4" t="inlineStr">
        <is>
          <t>مجموع الربح</t>
        </is>
      </c>
      <c r="F27" s="4" t="inlineStr">
        <is>
          <t>هامش التصنيف</t>
        </is>
      </c>
      <c r="G27" s="4" t="inlineStr">
        <is>
          <t>شرط العليا</t>
        </is>
      </c>
    </row>
    <row r="28" ht="22" customHeight="1">
      <c r="A28" s="23" t="inlineStr">
        <is>
          <t>صابون قالب</t>
        </is>
      </c>
      <c r="B28" s="24">
        <f>COUNTIF(المنتجات!$A$4:$A$27,A28)</f>
        <v/>
      </c>
      <c r="C28" s="18">
        <f>SUMIF(المنتجات!$A$4:$A$27,A28,المنتجات!$C$4:$C$27)</f>
        <v/>
      </c>
      <c r="D28" s="18">
        <f>SUMIF(المنتجات!$A$4:$A$27,A28,المنتجات!$D$4:$D$27)</f>
        <v/>
      </c>
      <c r="E28" s="18">
        <f>SUMIF(المنتجات!$A$4:$A$27,A28,المنتجات!$E$4:$E$27)</f>
        <v/>
      </c>
      <c r="F28" s="19">
        <f>IF(C28=0,0,E28/C28)</f>
        <v/>
      </c>
      <c r="G28" s="25">
        <f>IF(COUNTIFS(المنتجات!$A$4:$A$27,A28,المنتجات!$T$4:$T$27,"يتحقق")=B28,"يتحقق","مراجعة")</f>
        <v/>
      </c>
    </row>
    <row r="29" ht="22" customHeight="1">
      <c r="A29" s="23" t="inlineStr">
        <is>
          <t>مقشر جسم</t>
        </is>
      </c>
      <c r="B29" s="24">
        <f>COUNTIF(المنتجات!$A$4:$A$27,A29)</f>
        <v/>
      </c>
      <c r="C29" s="18">
        <f>SUMIF(المنتجات!$A$4:$A$27,A29,المنتجات!$C$4:$C$27)</f>
        <v/>
      </c>
      <c r="D29" s="18">
        <f>SUMIF(المنتجات!$A$4:$A$27,A29,المنتجات!$D$4:$D$27)</f>
        <v/>
      </c>
      <c r="E29" s="18">
        <f>SUMIF(المنتجات!$A$4:$A$27,A29,المنتجات!$E$4:$E$27)</f>
        <v/>
      </c>
      <c r="F29" s="19">
        <f>IF(C29=0,0,E29/C29)</f>
        <v/>
      </c>
      <c r="G29" s="25">
        <f>IF(COUNTIFS(المنتجات!$A$4:$A$27,A29,المنتجات!$T$4:$T$27,"يتحقق")=B29,"يتحقق","مراجعة")</f>
        <v/>
      </c>
    </row>
    <row r="30" ht="22" customHeight="1">
      <c r="A30" s="23" t="inlineStr">
        <is>
          <t>صابون سائل</t>
        </is>
      </c>
      <c r="B30" s="24">
        <f>COUNTIF(المنتجات!$A$4:$A$27,A30)</f>
        <v/>
      </c>
      <c r="C30" s="18">
        <f>SUMIF(المنتجات!$A$4:$A$27,A30,المنتجات!$C$4:$C$27)</f>
        <v/>
      </c>
      <c r="D30" s="18">
        <f>SUMIF(المنتجات!$A$4:$A$27,A30,المنتجات!$D$4:$D$27)</f>
        <v/>
      </c>
      <c r="E30" s="18">
        <f>SUMIF(المنتجات!$A$4:$A$27,A30,المنتجات!$E$4:$E$27)</f>
        <v/>
      </c>
      <c r="F30" s="19">
        <f>IF(C30=0,0,E30/C30)</f>
        <v/>
      </c>
      <c r="G30" s="25">
        <f>IF(COUNTIFS(المنتجات!$A$4:$A$27,A30,المنتجات!$T$4:$T$27,"يتحقق")=B30,"يتحقق","مراجعة")</f>
        <v/>
      </c>
    </row>
    <row r="31" ht="22" customHeight="1">
      <c r="A31" s="23" t="inlineStr">
        <is>
          <t>جل استحمام</t>
        </is>
      </c>
      <c r="B31" s="24">
        <f>COUNTIF(المنتجات!$A$4:$A$27,A31)</f>
        <v/>
      </c>
      <c r="C31" s="18">
        <f>SUMIF(المنتجات!$A$4:$A$27,A31,المنتجات!$C$4:$C$27)</f>
        <v/>
      </c>
      <c r="D31" s="18">
        <f>SUMIF(المنتجات!$A$4:$A$27,A31,المنتجات!$D$4:$D$27)</f>
        <v/>
      </c>
      <c r="E31" s="18">
        <f>SUMIF(المنتجات!$A$4:$A$27,A31,المنتجات!$E$4:$E$27)</f>
        <v/>
      </c>
      <c r="F31" s="19">
        <f>IF(C31=0,0,E31/C31)</f>
        <v/>
      </c>
      <c r="G31" s="25">
        <f>IF(COUNTIFS(المنتجات!$A$4:$A$27,A31,المنتجات!$T$4:$T$27,"يتحقق")=B31,"يتحقق","مراجعة")</f>
        <v/>
      </c>
    </row>
    <row r="33" ht="22" customHeight="1">
      <c r="A33" s="4" t="inlineStr">
        <is>
          <t>المجموع</t>
        </is>
      </c>
      <c r="B33" s="26">
        <f>SUM(B28:B31)</f>
        <v/>
      </c>
      <c r="C33" s="27">
        <f>SUM(C28:C31)</f>
        <v/>
      </c>
      <c r="D33" s="27">
        <f>SUM(D28:D31)</f>
        <v/>
      </c>
      <c r="E33" s="27">
        <f>SUM(E28:E31)</f>
        <v/>
      </c>
      <c r="F33" s="28">
        <f>IF(C33=0,0,E33/C33)</f>
        <v/>
      </c>
      <c r="G33" s="4">
        <f>IF(COUNTIF(المنتجات!T4:T27,"يتحقق")=B33,"يتحقق","مراجعة")</f>
        <v/>
      </c>
    </row>
    <row r="35">
      <c r="A35" s="6" t="inlineStr">
        <is>
          <t>نص يمكن إرساله للشركة</t>
        </is>
      </c>
      <c r="B35" s="15" t="n"/>
      <c r="C35" s="15" t="n"/>
      <c r="D35" s="16" t="n"/>
    </row>
    <row r="36" ht="110" customHeight="1">
      <c r="A36" s="29">
        <f>"تعمل الشركة بيع المنتجات نيابة عن صاحبها مقابل عمولة من سعر البيع، على ثلاث شرائح حسب قيمة المبيعات الشهرية."&amp;CHAR(10)&amp;"الأساسية: مبيعات "&amp;TEXT(الإعدادات!C12,"#,##0")&amp;" أو أقل، والعمولة "&amp;TEXT(الإعدادات!B23,"0.00%")&amp;" من سعر البيع، ويبقى لصاحب المنتج "&amp;TEXT(الإعدادات!B6,"0.00%")&amp;" من الربح على الأقل."&amp;CHAR(10)&amp;"المتوسطة: أكثر من "&amp;TEXT(الإعدادات!C12,"#,##0")&amp;" وحتى "&amp;TEXT(الإعدادات!C13,"#,##0")&amp;"، والعمولة "&amp;TEXT(الإعدادات!B24,"0.00%")&amp;"، ويبقى له "&amp;TEXT(الإعدادات!B7,"0.00%")&amp;" من الربح على الأقل."&amp;CHAR(10)&amp;"العليا: أكثر من "&amp;TEXT(الإعدادات!C13,"#,##0")&amp;"، والعمولة "&amp;TEXT(الإعدادات!B25,"0.00%")&amp;"، ويبقى له "&amp;TEXT(الإعدادات!B8,"0.00%")&amp;" من الربح على الأقل."&amp;CHAR(10)&amp;"هذه النسب الموحدة محسوبة على أقل هامش وهو "&amp;TEXT(الإعدادات!B20,"0.00%")&amp;" ("&amp;الإعدادات!B22&amp;"). رفع العمولة فوق نسبة الشريحة العليا ينزل نصيب المالك في هذا المنتج تحت ثلث الربح."&amp;CHAR(10)&amp;IF(الإعدادات!B17="حسب المنتج","الوضع الحالي حسب المنتج: عمولة كل صنف تُحسب من هامشه، فتبقى حصة المالك ثابتة ويرتفع نصيب الشركة في الأصناف الأعلى هامشاً.","الوضع الحالي موحّد: نسبة واحدة لكل الأصناف.")</f>
        <v/>
      </c>
      <c r="B36" s="15" t="n"/>
      <c r="C36" s="15" t="n"/>
      <c r="D36" s="16" t="n"/>
    </row>
  </sheetData>
  <mergeCells count="11">
    <mergeCell ref="A1:D1"/>
    <mergeCell ref="A22:D22"/>
    <mergeCell ref="B23:D23"/>
    <mergeCell ref="A35:D35"/>
    <mergeCell ref="A3:D3"/>
    <mergeCell ref="A26:G26"/>
    <mergeCell ref="A2:D2"/>
    <mergeCell ref="A11:D11"/>
    <mergeCell ref="B12:D12"/>
    <mergeCell ref="A16:D16"/>
    <mergeCell ref="A36:D36"/>
  </mergeCells>
  <pageMargins left="0.5" right="0.5" top="0.6" bottom="0.6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tabColor rgb="00BF8F00"/>
    <outlinePr summaryBelow="1" summaryRight="1"/>
    <pageSetUpPr fitToPage="0"/>
  </sheetPr>
  <dimension ref="A1:D30"/>
  <sheetViews>
    <sheetView showGridLines="1" rightToLeft="1" view="normal" zoomScale="100" zoomScaleNormal="100"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42" customWidth="1" min="3" max="3"/>
    <col width="62" customWidth="1" min="4" max="4"/>
  </cols>
  <sheetData>
    <row r="1" ht="32" customHeight="1">
      <c r="A1" s="1" t="inlineStr">
        <is>
          <t>إعدادات الخطة — عدّل الخلايا الصفراء فقط</t>
        </is>
      </c>
    </row>
    <row r="2" ht="36" customHeight="1">
      <c r="A2" s="2" t="inlineStr">
        <is>
          <t>الربح = سعر البيع − التكلفة. أعلى شريحة تُبقي لك ثلث هذا الربح على الأقل في كل منتج. الحدود الشهرية أرقام ابتدائية وليست من ملف المنتجات، فغيّرها حسب الاتفاق.</t>
        </is>
      </c>
    </row>
    <row r="4" ht="22" customHeight="1">
      <c r="A4" s="30" t="inlineStr">
        <is>
          <t>١) حصتك من الربح</t>
        </is>
      </c>
      <c r="B4" s="15" t="n"/>
      <c r="C4" s="15" t="n"/>
      <c r="D4" s="16" t="n"/>
    </row>
    <row r="5" ht="22" customHeight="1">
      <c r="A5" s="4" t="inlineStr">
        <is>
          <t>الشريحة</t>
        </is>
      </c>
      <c r="B5" s="4" t="inlineStr">
        <is>
          <t>حصتك من الربح</t>
        </is>
      </c>
      <c r="C5" s="4" t="inlineStr">
        <is>
          <t>حصة الشركة من الربح</t>
        </is>
      </c>
      <c r="D5" s="4" t="inlineStr">
        <is>
          <t>المعنى</t>
        </is>
      </c>
    </row>
    <row r="6" ht="22" customHeight="1">
      <c r="A6" s="12" t="inlineStr">
        <is>
          <t>الأساسية</t>
        </is>
      </c>
      <c r="B6" s="11">
        <f>2/3</f>
        <v/>
      </c>
      <c r="C6" s="19">
        <f>1-B6</f>
        <v/>
      </c>
      <c r="D6" s="31" t="inlineStr">
        <is>
          <t>المبيعات الأصغر. الشركة تأخذ ثلث الربح، ويبقى لك الثلثان.</t>
        </is>
      </c>
    </row>
    <row r="7" ht="22" customHeight="1">
      <c r="A7" s="13" t="inlineStr">
        <is>
          <t>المتوسطة</t>
        </is>
      </c>
      <c r="B7" s="11">
        <f>1/2</f>
        <v/>
      </c>
      <c r="C7" s="32">
        <f>1-B7</f>
        <v/>
      </c>
      <c r="D7" s="33" t="inlineStr">
        <is>
          <t>الشركة تأخذ نصف الربح، ويبقى لك النصف.</t>
        </is>
      </c>
    </row>
    <row r="8" ht="22" customHeight="1">
      <c r="A8" s="14" t="inlineStr">
        <is>
          <t>العليا</t>
        </is>
      </c>
      <c r="B8" s="11">
        <f>1/3</f>
        <v/>
      </c>
      <c r="C8" s="34">
        <f>1-B8</f>
        <v/>
      </c>
      <c r="D8" s="35" t="inlineStr">
        <is>
          <t>أعلى عمولة. يبقى لك ثلث الربح على الأقل. هذا شرط الخطة.</t>
        </is>
      </c>
    </row>
    <row r="9" ht="22" customHeight="1"/>
    <row r="10" ht="22" customHeight="1">
      <c r="A10" s="30" t="inlineStr">
        <is>
          <t>٢) حدود قيمة المبيعات الشهرية</t>
        </is>
      </c>
      <c r="B10" s="15" t="n"/>
      <c r="C10" s="15" t="n"/>
      <c r="D10" s="16" t="n"/>
    </row>
    <row r="11" ht="22" customHeight="1">
      <c r="A11" s="4" t="inlineStr">
        <is>
          <t>الشريحة</t>
        </is>
      </c>
      <c r="B11" s="4" t="inlineStr">
        <is>
          <t>تبدأ بعد</t>
        </is>
      </c>
      <c r="C11" s="4" t="inlineStr">
        <is>
          <t>وحتى</t>
        </is>
      </c>
      <c r="D11" s="4" t="inlineStr">
        <is>
          <t>ملاحظة</t>
        </is>
      </c>
    </row>
    <row r="12" ht="22" customHeight="1">
      <c r="A12" s="12" t="inlineStr">
        <is>
          <t>الأساسية</t>
        </is>
      </c>
      <c r="B12" s="36" t="n">
        <v>0</v>
      </c>
      <c r="C12" s="37" t="n">
        <v>500</v>
      </c>
      <c r="D12" s="31" t="inlineStr">
        <is>
          <t>رقم ابتدائي. غيّره حسب الاتفاق.</t>
        </is>
      </c>
    </row>
    <row r="13" ht="22" customHeight="1">
      <c r="A13" s="13" t="inlineStr">
        <is>
          <t>المتوسطة</t>
        </is>
      </c>
      <c r="B13" s="38">
        <f>C12</f>
        <v/>
      </c>
      <c r="C13" s="37" t="n">
        <v>1500</v>
      </c>
      <c r="D13" s="33" t="inlineStr">
        <is>
          <t>رقم ابتدائي. غيّره حسب الاتفاق.</t>
        </is>
      </c>
    </row>
    <row r="14" ht="22" customHeight="1">
      <c r="A14" s="14" t="inlineStr">
        <is>
          <t>العليا</t>
        </is>
      </c>
      <c r="B14" s="38">
        <f>C13</f>
        <v/>
      </c>
      <c r="C14" s="39" t="inlineStr">
        <is>
          <t>فأكثر</t>
        </is>
      </c>
      <c r="D14" s="35" t="inlineStr">
        <is>
          <t>كل مبيعات تتجاوز حد الشريحة المتوسطة.</t>
        </is>
      </c>
    </row>
    <row r="15" ht="22" customHeight="1"/>
    <row r="16" ht="22" customHeight="1">
      <c r="A16" s="30" t="inlineStr">
        <is>
          <t>٣) طريقة حساب العمولة</t>
        </is>
      </c>
      <c r="B16" s="15" t="n"/>
      <c r="C16" s="15" t="n"/>
      <c r="D16" s="16" t="n"/>
    </row>
    <row r="17" ht="48" customHeight="1">
      <c r="A17" s="4" t="inlineStr">
        <is>
          <t>الطريقة</t>
        </is>
      </c>
      <c r="B17" s="14" t="inlineStr">
        <is>
          <t>موحدة</t>
        </is>
      </c>
      <c r="C17" s="35" t="inlineStr">
        <is>
          <t>موحدة: نسبة واحدة لكل المنتجات، محسوبة على أقل هامش حتى يتحقق الشرط في كل صنف. حسب المنتج: عمولة كل صنف من هامشه، فتبقى حصتك كما هي ويرتفع نصيب الشركة في الأصناف الأعلى هامشاً.</t>
        </is>
      </c>
      <c r="D17" s="16" t="n"/>
    </row>
    <row r="18" ht="22" customHeight="1"/>
    <row r="19" ht="22" customHeight="1">
      <c r="A19" s="40" t="inlineStr">
        <is>
          <t>٤) نتائج محسوبة بالدوال — لا تُكتب يدوياً</t>
        </is>
      </c>
      <c r="B19" s="15" t="n"/>
      <c r="C19" s="15" t="n"/>
      <c r="D19" s="16" t="n"/>
    </row>
    <row r="20" ht="22" customHeight="1">
      <c r="A20" s="8" t="inlineStr">
        <is>
          <t>أقل هامش ربح</t>
        </is>
      </c>
      <c r="B20" s="41">
        <f>MIN(المنتجات!F4:F27)</f>
        <v/>
      </c>
    </row>
    <row r="21" ht="22" customHeight="1">
      <c r="A21" s="8" t="inlineStr">
        <is>
          <t>عدد المنتجات التي تضع السقف</t>
        </is>
      </c>
      <c r="B21" s="42">
        <f>COUNTIF(المنتجات!G4:G27,"نعم")</f>
        <v/>
      </c>
    </row>
    <row r="22" ht="22" customHeight="1">
      <c r="A22" s="8" t="inlineStr">
        <is>
          <t>أول منتج على السقف</t>
        </is>
      </c>
      <c r="B22" s="43">
        <f>INDEX(المنتجات!B4:B27,MATCH(B20,المنتجات!F4:F27,0))</f>
        <v/>
      </c>
    </row>
    <row r="23" ht="22" customHeight="1">
      <c r="A23" s="8" t="inlineStr">
        <is>
          <t>نسبة العمولة الموحدة — الأساسية</t>
        </is>
      </c>
      <c r="B23" s="41">
        <f>(1-B6)*B20</f>
        <v/>
      </c>
    </row>
    <row r="24" ht="22" customHeight="1">
      <c r="A24" s="8" t="inlineStr">
        <is>
          <t>نسبة العمولة الموحدة — المتوسطة</t>
        </is>
      </c>
      <c r="B24" s="41">
        <f>(1-B7)*B20</f>
        <v/>
      </c>
    </row>
    <row r="25" ht="22" customHeight="1">
      <c r="A25" s="8" t="inlineStr">
        <is>
          <t>نسبة العمولة الموحدة — العليا</t>
        </is>
      </c>
      <c r="B25" s="41">
        <f>(1-B8)*B20</f>
        <v/>
      </c>
    </row>
    <row r="26" ht="22" customHeight="1">
      <c r="A26" s="8" t="inlineStr">
        <is>
          <t>أعلى هامش ربح</t>
        </is>
      </c>
      <c r="B26" s="41">
        <f>MAX(المنتجات!F4:F27)</f>
        <v/>
      </c>
    </row>
    <row r="27" ht="22" customHeight="1">
      <c r="A27" s="8" t="inlineStr">
        <is>
          <t>أعلى عمولة خاصة بالمنتج في الشريحة العليا</t>
        </is>
      </c>
      <c r="B27" s="41">
        <f>(1-B8)*B26</f>
        <v/>
      </c>
    </row>
    <row r="28" ht="24" customHeight="1">
      <c r="A28" s="22">
        <f>IF(OR(B8&gt;B7,B7&gt;B6),"تنبيه: اجعل حصة الشريحة العليا أصغر من المتوسطة، والمتوسطة أصغر من الأساسية.","ترتيب الحصص سليم: الأساسية ثم المتوسطة ثم العليا.")</f>
        <v/>
      </c>
      <c r="B28" s="15" t="n"/>
      <c r="C28" s="15" t="n"/>
      <c r="D28" s="16" t="n"/>
    </row>
    <row r="30" ht="48" customHeight="1">
      <c r="A30" s="44" t="inlineStr">
        <is>
          <t>معادلة الشريحة العليا: نسبة العمولة من سعر البيع = (1 − حصتك من الربح) × هامش الربح. عند الحصة الثلث تصبح النسبة ثلثي الهامش. في الوضع الموحد يُستخدم أقل هامش، وهو هامش صابون الغار واللافندر، حتى لا ينزل نصيبك تحت الثلث في أي صنف.</t>
        </is>
      </c>
    </row>
  </sheetData>
  <mergeCells count="17">
    <mergeCell ref="A1:D1"/>
    <mergeCell ref="B26"/>
    <mergeCell ref="A28:D28"/>
    <mergeCell ref="B21"/>
    <mergeCell ref="A4:D4"/>
    <mergeCell ref="A30:D30"/>
    <mergeCell ref="B25"/>
    <mergeCell ref="B24"/>
    <mergeCell ref="B20"/>
    <mergeCell ref="B22"/>
    <mergeCell ref="A2:D2"/>
    <mergeCell ref="A16:D16"/>
    <mergeCell ref="A19:D19"/>
    <mergeCell ref="A10:D10"/>
    <mergeCell ref="C17:D17"/>
    <mergeCell ref="B23"/>
    <mergeCell ref="B27"/>
  </mergeCells>
  <dataValidations count="1">
    <dataValidation sqref="B17" showDropDown="0" showInputMessage="0" showErrorMessage="0" allowBlank="0" errorTitle="طريقة العمولة" error="اختر موحدة أو حسب المنتج" type="list">
      <formula1>"موحدة,حسب المنتج"</formula1>
    </dataValidation>
  </dataValidations>
  <pageMargins left="0.5" right="0.5" top="0.6" bottom="0.6" header="0.3" footer="0.3"/>
  <pageSetup orientation="landscape" paperSize="9" scale="80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 fitToPage="0"/>
  </sheetPr>
  <dimension ref="A1:T27"/>
  <sheetViews>
    <sheetView showGridLines="1" rightToLeft="1" view="normal" zoomScale="100" zoomScaleNormal="100" workbookViewId="0">
      <pane ySplit="3" topLeftCell="A4" activePane="bottomLeft" state="frozen"/>
      <selection pane="bottomLeft" activeCell="A4" sqref="A4"/>
    </sheetView>
  </sheetViews>
  <sheetFormatPr baseColWidth="8" defaultRowHeight="15"/>
  <cols>
    <col width="16" customWidth="1" min="1" max="1"/>
    <col width="42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6" customWidth="1" min="12" max="12"/>
    <col width="16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6" customWidth="1" min="20" max="20"/>
  </cols>
  <sheetData>
    <row r="1" ht="28" customHeight="1">
      <c r="A1" s="45" t="inlineStr">
        <is>
          <t>منتجات الصابون — الربح والعمولة في كل شريحة</t>
        </is>
      </c>
    </row>
    <row r="2" ht="32" customHeight="1">
      <c r="A2" s="46" t="inlineStr">
        <is>
          <t>الخلايا الصفراء هي سعر البيع والتكلفة ويمكن تعديلها. باقي الأعمدة دوال. عمود «يحدد السقف» = نعم يعني أن هذا المنتج هو الأقل هامشاً، وعليه تُحسب النسبة الموحدة.</t>
        </is>
      </c>
    </row>
    <row r="3" ht="36" customHeight="1">
      <c r="A3" s="47" t="inlineStr">
        <is>
          <t>التصنيف</t>
        </is>
      </c>
      <c r="B3" s="47" t="inlineStr">
        <is>
          <t>المنتج</t>
        </is>
      </c>
      <c r="C3" s="47" t="inlineStr">
        <is>
          <t>سعر البيع</t>
        </is>
      </c>
      <c r="D3" s="47" t="inlineStr">
        <is>
          <t>التكلفة</t>
        </is>
      </c>
      <c r="E3" s="47" t="inlineStr">
        <is>
          <t>الربح</t>
        </is>
      </c>
      <c r="F3" s="47" t="inlineStr">
        <is>
          <t>هامش الربح</t>
        </is>
      </c>
      <c r="G3" s="47" t="inlineStr">
        <is>
          <t>يحدد السقف</t>
        </is>
      </c>
      <c r="H3" s="48" t="inlineStr">
        <is>
          <t>نسبة الأساسية</t>
        </is>
      </c>
      <c r="I3" s="48" t="inlineStr">
        <is>
          <t>عمولة الأساسية</t>
        </is>
      </c>
      <c r="J3" s="48" t="inlineStr">
        <is>
          <t>صافي المالك</t>
        </is>
      </c>
      <c r="K3" s="48" t="inlineStr">
        <is>
          <t>حصة المالك</t>
        </is>
      </c>
      <c r="L3" s="49" t="inlineStr">
        <is>
          <t>نسبة المتوسطة</t>
        </is>
      </c>
      <c r="M3" s="49" t="inlineStr">
        <is>
          <t>عمولة المتوسطة</t>
        </is>
      </c>
      <c r="N3" s="49" t="inlineStr">
        <is>
          <t>صافي المالك</t>
        </is>
      </c>
      <c r="O3" s="49" t="inlineStr">
        <is>
          <t>حصة المالك</t>
        </is>
      </c>
      <c r="P3" s="50" t="inlineStr">
        <is>
          <t>نسبة العليا</t>
        </is>
      </c>
      <c r="Q3" s="50" t="inlineStr">
        <is>
          <t>عمولة العليا</t>
        </is>
      </c>
      <c r="R3" s="50" t="inlineStr">
        <is>
          <t>صافي المالك</t>
        </is>
      </c>
      <c r="S3" s="50" t="inlineStr">
        <is>
          <t>حصة المالك</t>
        </is>
      </c>
      <c r="T3" s="50" t="inlineStr">
        <is>
          <t>شرط الثلث</t>
        </is>
      </c>
    </row>
    <row r="4" ht="20" customHeight="1">
      <c r="A4" s="51" t="inlineStr">
        <is>
          <t>صابون قالب</t>
        </is>
      </c>
      <c r="B4" s="51" t="inlineStr">
        <is>
          <t>Bar Soap - Black Soap 95GM</t>
        </is>
      </c>
      <c r="C4" s="21" t="n">
        <v>3</v>
      </c>
      <c r="D4" s="21" t="n">
        <v>1.45</v>
      </c>
      <c r="E4" s="18">
        <f>C4-D4</f>
        <v/>
      </c>
      <c r="F4" s="19">
        <f>IF(C4=0,0,E4/C4)</f>
        <v/>
      </c>
      <c r="G4" s="39">
        <f>IF(ABS(F4-الإعدادات!$B$20)&lt;0.0000001,"نعم","")</f>
        <v/>
      </c>
      <c r="H4" s="19">
        <f>IF(الإعدادات!$B$17="حسب المنتج",(1-الإعدادات!$B$6)*F4,الإعدادات!$B$23)</f>
        <v/>
      </c>
      <c r="I4" s="18">
        <f>C4*H4</f>
        <v/>
      </c>
      <c r="J4" s="18">
        <f>C4-I4-D4</f>
        <v/>
      </c>
      <c r="K4" s="19">
        <f>IF(E4=0,0,J4/E4)</f>
        <v/>
      </c>
      <c r="L4" s="32">
        <f>IF(الإعدادات!$B$17="حسب المنتج",(1-الإعدادات!$B$7)*F4,الإعدادات!$B$24)</f>
        <v/>
      </c>
      <c r="M4" s="20">
        <f>C4*L4</f>
        <v/>
      </c>
      <c r="N4" s="20">
        <f>C4-M4-D4</f>
        <v/>
      </c>
      <c r="O4" s="32">
        <f>IF(E4=0,0,N4/E4)</f>
        <v/>
      </c>
      <c r="P4" s="52">
        <f>IF(الإعدادات!$B$17="حسب المنتج",(1-الإعدادات!$B$8)*F4,الإعدادات!$B$25)</f>
        <v/>
      </c>
      <c r="Q4" s="53">
        <f>C4*P4</f>
        <v/>
      </c>
      <c r="R4" s="53">
        <f>C4-Q4-D4</f>
        <v/>
      </c>
      <c r="S4" s="34">
        <f>IF(E4=0,0,R4/E4)</f>
        <v/>
      </c>
      <c r="T4" s="25">
        <f>IF(S4+0.0000001&gt;=الإعدادات!$B$8,"يتحقق","أقل من الشرط")</f>
        <v/>
      </c>
    </row>
    <row r="5" ht="20" customHeight="1">
      <c r="A5" s="51" t="inlineStr">
        <is>
          <t>صابون قالب</t>
        </is>
      </c>
      <c r="B5" s="51" t="inlineStr">
        <is>
          <t>Bar Soap - Coffee Soap 95GM</t>
        </is>
      </c>
      <c r="C5" s="21" t="n">
        <v>3</v>
      </c>
      <c r="D5" s="21" t="n">
        <v>1.25</v>
      </c>
      <c r="E5" s="18">
        <f>C5-D5</f>
        <v/>
      </c>
      <c r="F5" s="19">
        <f>IF(C5=0,0,E5/C5)</f>
        <v/>
      </c>
      <c r="G5" s="39">
        <f>IF(ABS(F5-الإعدادات!$B$20)&lt;0.0000001,"نعم","")</f>
        <v/>
      </c>
      <c r="H5" s="19">
        <f>IF(الإعدادات!$B$17="حسب المنتج",(1-الإعدادات!$B$6)*F5,الإعدادات!$B$23)</f>
        <v/>
      </c>
      <c r="I5" s="18">
        <f>C5*H5</f>
        <v/>
      </c>
      <c r="J5" s="18">
        <f>C5-I5-D5</f>
        <v/>
      </c>
      <c r="K5" s="19">
        <f>IF(E5=0,0,J5/E5)</f>
        <v/>
      </c>
      <c r="L5" s="32">
        <f>IF(الإعدادات!$B$17="حسب المنتج",(1-الإعدادات!$B$7)*F5,الإعدادات!$B$24)</f>
        <v/>
      </c>
      <c r="M5" s="20">
        <f>C5*L5</f>
        <v/>
      </c>
      <c r="N5" s="20">
        <f>C5-M5-D5</f>
        <v/>
      </c>
      <c r="O5" s="32">
        <f>IF(E5=0,0,N5/E5)</f>
        <v/>
      </c>
      <c r="P5" s="52">
        <f>IF(الإعدادات!$B$17="حسب المنتج",(1-الإعدادات!$B$8)*F5,الإعدادات!$B$25)</f>
        <v/>
      </c>
      <c r="Q5" s="53">
        <f>C5*P5</f>
        <v/>
      </c>
      <c r="R5" s="53">
        <f>C5-Q5-D5</f>
        <v/>
      </c>
      <c r="S5" s="34">
        <f>IF(E5=0,0,R5/E5)</f>
        <v/>
      </c>
      <c r="T5" s="25">
        <f>IF(S5+0.0000001&gt;=الإعدادات!$B$8,"يتحقق","أقل من الشرط")</f>
        <v/>
      </c>
    </row>
    <row r="6" ht="20" customHeight="1">
      <c r="A6" s="51" t="inlineStr">
        <is>
          <t>صابون قالب</t>
        </is>
      </c>
      <c r="B6" s="51" t="inlineStr">
        <is>
          <t>Bar Soap - Curcum Soap 95GM</t>
        </is>
      </c>
      <c r="C6" s="21" t="n">
        <v>3.25</v>
      </c>
      <c r="D6" s="21" t="n">
        <v>1.45</v>
      </c>
      <c r="E6" s="18">
        <f>C6-D6</f>
        <v/>
      </c>
      <c r="F6" s="19">
        <f>IF(C6=0,0,E6/C6)</f>
        <v/>
      </c>
      <c r="G6" s="39">
        <f>IF(ABS(F6-الإعدادات!$B$20)&lt;0.0000001,"نعم","")</f>
        <v/>
      </c>
      <c r="H6" s="19">
        <f>IF(الإعدادات!$B$17="حسب المنتج",(1-الإعدادات!$B$6)*F6,الإعدادات!$B$23)</f>
        <v/>
      </c>
      <c r="I6" s="18">
        <f>C6*H6</f>
        <v/>
      </c>
      <c r="J6" s="18">
        <f>C6-I6-D6</f>
        <v/>
      </c>
      <c r="K6" s="19">
        <f>IF(E6=0,0,J6/E6)</f>
        <v/>
      </c>
      <c r="L6" s="32">
        <f>IF(الإعدادات!$B$17="حسب المنتج",(1-الإعدادات!$B$7)*F6,الإعدادات!$B$24)</f>
        <v/>
      </c>
      <c r="M6" s="20">
        <f>C6*L6</f>
        <v/>
      </c>
      <c r="N6" s="20">
        <f>C6-M6-D6</f>
        <v/>
      </c>
      <c r="O6" s="32">
        <f>IF(E6=0,0,N6/E6)</f>
        <v/>
      </c>
      <c r="P6" s="52">
        <f>IF(الإعدادات!$B$17="حسب المنتج",(1-الإعدادات!$B$8)*F6,الإعدادات!$B$25)</f>
        <v/>
      </c>
      <c r="Q6" s="53">
        <f>C6*P6</f>
        <v/>
      </c>
      <c r="R6" s="53">
        <f>C6-Q6-D6</f>
        <v/>
      </c>
      <c r="S6" s="34">
        <f>IF(E6=0,0,R6/E6)</f>
        <v/>
      </c>
      <c r="T6" s="25">
        <f>IF(S6+0.0000001&gt;=الإعدادات!$B$8,"يتحقق","أقل من الشرط")</f>
        <v/>
      </c>
    </row>
    <row r="7" ht="20" customHeight="1">
      <c r="A7" s="51" t="inlineStr">
        <is>
          <t>صابون قالب</t>
        </is>
      </c>
      <c r="B7" s="51" t="inlineStr">
        <is>
          <t>Bar Soap - Ghar Soap 95GM</t>
        </is>
      </c>
      <c r="C7" s="21" t="n">
        <v>3.5</v>
      </c>
      <c r="D7" s="21" t="n">
        <v>1.8</v>
      </c>
      <c r="E7" s="18">
        <f>C7-D7</f>
        <v/>
      </c>
      <c r="F7" s="19">
        <f>IF(C7=0,0,E7/C7)</f>
        <v/>
      </c>
      <c r="G7" s="39">
        <f>IF(ABS(F7-الإعدادات!$B$20)&lt;0.0000001,"نعم","")</f>
        <v/>
      </c>
      <c r="H7" s="19">
        <f>IF(الإعدادات!$B$17="حسب المنتج",(1-الإعدادات!$B$6)*F7,الإعدادات!$B$23)</f>
        <v/>
      </c>
      <c r="I7" s="18">
        <f>C7*H7</f>
        <v/>
      </c>
      <c r="J7" s="18">
        <f>C7-I7-D7</f>
        <v/>
      </c>
      <c r="K7" s="19">
        <f>IF(E7=0,0,J7/E7)</f>
        <v/>
      </c>
      <c r="L7" s="32">
        <f>IF(الإعدادات!$B$17="حسب المنتج",(1-الإعدادات!$B$7)*F7,الإعدادات!$B$24)</f>
        <v/>
      </c>
      <c r="M7" s="20">
        <f>C7*L7</f>
        <v/>
      </c>
      <c r="N7" s="20">
        <f>C7-M7-D7</f>
        <v/>
      </c>
      <c r="O7" s="32">
        <f>IF(E7=0,0,N7/E7)</f>
        <v/>
      </c>
      <c r="P7" s="52">
        <f>IF(الإعدادات!$B$17="حسب المنتج",(1-الإعدادات!$B$8)*F7,الإعدادات!$B$25)</f>
        <v/>
      </c>
      <c r="Q7" s="53">
        <f>C7*P7</f>
        <v/>
      </c>
      <c r="R7" s="53">
        <f>C7-Q7-D7</f>
        <v/>
      </c>
      <c r="S7" s="34">
        <f>IF(E7=0,0,R7/E7)</f>
        <v/>
      </c>
      <c r="T7" s="25">
        <f>IF(S7+0.0000001&gt;=الإعدادات!$B$8,"يتحقق","أقل من الشرط")</f>
        <v/>
      </c>
    </row>
    <row r="8" ht="20" customHeight="1">
      <c r="A8" s="51" t="inlineStr">
        <is>
          <t>صابون قالب</t>
        </is>
      </c>
      <c r="B8" s="51" t="inlineStr">
        <is>
          <t>Bar Soap - Lavender Soap 95GM</t>
        </is>
      </c>
      <c r="C8" s="21" t="n">
        <v>3.5</v>
      </c>
      <c r="D8" s="21" t="n">
        <v>1.8</v>
      </c>
      <c r="E8" s="18">
        <f>C8-D8</f>
        <v/>
      </c>
      <c r="F8" s="19">
        <f>IF(C8=0,0,E8/C8)</f>
        <v/>
      </c>
      <c r="G8" s="39">
        <f>IF(ABS(F8-الإعدادات!$B$20)&lt;0.0000001,"نعم","")</f>
        <v/>
      </c>
      <c r="H8" s="19">
        <f>IF(الإعدادات!$B$17="حسب المنتج",(1-الإعدادات!$B$6)*F8,الإعدادات!$B$23)</f>
        <v/>
      </c>
      <c r="I8" s="18">
        <f>C8*H8</f>
        <v/>
      </c>
      <c r="J8" s="18">
        <f>C8-I8-D8</f>
        <v/>
      </c>
      <c r="K8" s="19">
        <f>IF(E8=0,0,J8/E8)</f>
        <v/>
      </c>
      <c r="L8" s="32">
        <f>IF(الإعدادات!$B$17="حسب المنتج",(1-الإعدادات!$B$7)*F8,الإعدادات!$B$24)</f>
        <v/>
      </c>
      <c r="M8" s="20">
        <f>C8*L8</f>
        <v/>
      </c>
      <c r="N8" s="20">
        <f>C8-M8-D8</f>
        <v/>
      </c>
      <c r="O8" s="32">
        <f>IF(E8=0,0,N8/E8)</f>
        <v/>
      </c>
      <c r="P8" s="52">
        <f>IF(الإعدادات!$B$17="حسب المنتج",(1-الإعدادات!$B$8)*F8,الإعدادات!$B$25)</f>
        <v/>
      </c>
      <c r="Q8" s="53">
        <f>C8*P8</f>
        <v/>
      </c>
      <c r="R8" s="53">
        <f>C8-Q8-D8</f>
        <v/>
      </c>
      <c r="S8" s="34">
        <f>IF(E8=0,0,R8/E8)</f>
        <v/>
      </c>
      <c r="T8" s="25">
        <f>IF(S8+0.0000001&gt;=الإعدادات!$B$8,"يتحقق","أقل من الشرط")</f>
        <v/>
      </c>
    </row>
    <row r="9" ht="20" customHeight="1">
      <c r="A9" s="51" t="inlineStr">
        <is>
          <t>صابون قالب</t>
        </is>
      </c>
      <c r="B9" s="51" t="inlineStr">
        <is>
          <t>Bar Soap - Malva 95GM</t>
        </is>
      </c>
      <c r="C9" s="21" t="n">
        <v>3.25</v>
      </c>
      <c r="D9" s="21" t="n">
        <v>1.45</v>
      </c>
      <c r="E9" s="18">
        <f>C9-D9</f>
        <v/>
      </c>
      <c r="F9" s="19">
        <f>IF(C9=0,0,E9/C9)</f>
        <v/>
      </c>
      <c r="G9" s="39">
        <f>IF(ABS(F9-الإعدادات!$B$20)&lt;0.0000001,"نعم","")</f>
        <v/>
      </c>
      <c r="H9" s="19">
        <f>IF(الإعدادات!$B$17="حسب المنتج",(1-الإعدادات!$B$6)*F9,الإعدادات!$B$23)</f>
        <v/>
      </c>
      <c r="I9" s="18">
        <f>C9*H9</f>
        <v/>
      </c>
      <c r="J9" s="18">
        <f>C9-I9-D9</f>
        <v/>
      </c>
      <c r="K9" s="19">
        <f>IF(E9=0,0,J9/E9)</f>
        <v/>
      </c>
      <c r="L9" s="32">
        <f>IF(الإعدادات!$B$17="حسب المنتج",(1-الإعدادات!$B$7)*F9,الإعدادات!$B$24)</f>
        <v/>
      </c>
      <c r="M9" s="20">
        <f>C9*L9</f>
        <v/>
      </c>
      <c r="N9" s="20">
        <f>C9-M9-D9</f>
        <v/>
      </c>
      <c r="O9" s="32">
        <f>IF(E9=0,0,N9/E9)</f>
        <v/>
      </c>
      <c r="P9" s="52">
        <f>IF(الإعدادات!$B$17="حسب المنتج",(1-الإعدادات!$B$8)*F9,الإعدادات!$B$25)</f>
        <v/>
      </c>
      <c r="Q9" s="53">
        <f>C9*P9</f>
        <v/>
      </c>
      <c r="R9" s="53">
        <f>C9-Q9-D9</f>
        <v/>
      </c>
      <c r="S9" s="34">
        <f>IF(E9=0,0,R9/E9)</f>
        <v/>
      </c>
      <c r="T9" s="25">
        <f>IF(S9+0.0000001&gt;=الإعدادات!$B$8,"يتحقق","أقل من الشرط")</f>
        <v/>
      </c>
    </row>
    <row r="10" ht="20" customHeight="1">
      <c r="A10" s="51" t="inlineStr">
        <is>
          <t>صابون قالب</t>
        </is>
      </c>
      <c r="B10" s="51" t="inlineStr">
        <is>
          <t>Bar Soap - Pitch White Soap 95GM</t>
        </is>
      </c>
      <c r="C10" s="21" t="n">
        <v>4.5</v>
      </c>
      <c r="D10" s="21" t="n">
        <v>1.8</v>
      </c>
      <c r="E10" s="18">
        <f>C10-D10</f>
        <v/>
      </c>
      <c r="F10" s="19">
        <f>IF(C10=0,0,E10/C10)</f>
        <v/>
      </c>
      <c r="G10" s="39">
        <f>IF(ABS(F10-الإعدادات!$B$20)&lt;0.0000001,"نعم","")</f>
        <v/>
      </c>
      <c r="H10" s="19">
        <f>IF(الإعدادات!$B$17="حسب المنتج",(1-الإعدادات!$B$6)*F10,الإعدادات!$B$23)</f>
        <v/>
      </c>
      <c r="I10" s="18">
        <f>C10*H10</f>
        <v/>
      </c>
      <c r="J10" s="18">
        <f>C10-I10-D10</f>
        <v/>
      </c>
      <c r="K10" s="19">
        <f>IF(E10=0,0,J10/E10)</f>
        <v/>
      </c>
      <c r="L10" s="32">
        <f>IF(الإعدادات!$B$17="حسب المنتج",(1-الإعدادات!$B$7)*F10,الإعدادات!$B$24)</f>
        <v/>
      </c>
      <c r="M10" s="20">
        <f>C10*L10</f>
        <v/>
      </c>
      <c r="N10" s="20">
        <f>C10-M10-D10</f>
        <v/>
      </c>
      <c r="O10" s="32">
        <f>IF(E10=0,0,N10/E10)</f>
        <v/>
      </c>
      <c r="P10" s="52">
        <f>IF(الإعدادات!$B$17="حسب المنتج",(1-الإعدادات!$B$8)*F10,الإعدادات!$B$25)</f>
        <v/>
      </c>
      <c r="Q10" s="53">
        <f>C10*P10</f>
        <v/>
      </c>
      <c r="R10" s="53">
        <f>C10-Q10-D10</f>
        <v/>
      </c>
      <c r="S10" s="34">
        <f>IF(E10=0,0,R10/E10)</f>
        <v/>
      </c>
      <c r="T10" s="25">
        <f>IF(S10+0.0000001&gt;=الإعدادات!$B$8,"يتحقق","أقل من الشرط")</f>
        <v/>
      </c>
    </row>
    <row r="11" ht="20" customHeight="1">
      <c r="A11" s="51" t="inlineStr">
        <is>
          <t>صابون قالب</t>
        </is>
      </c>
      <c r="B11" s="51" t="inlineStr">
        <is>
          <t>Bar Soap - The Miracle 95gm</t>
        </is>
      </c>
      <c r="C11" s="21" t="n">
        <v>4.5</v>
      </c>
      <c r="D11" s="21" t="n">
        <v>2</v>
      </c>
      <c r="E11" s="18">
        <f>C11-D11</f>
        <v/>
      </c>
      <c r="F11" s="19">
        <f>IF(C11=0,0,E11/C11)</f>
        <v/>
      </c>
      <c r="G11" s="39">
        <f>IF(ABS(F11-الإعدادات!$B$20)&lt;0.0000001,"نعم","")</f>
        <v/>
      </c>
      <c r="H11" s="19">
        <f>IF(الإعدادات!$B$17="حسب المنتج",(1-الإعدادات!$B$6)*F11,الإعدادات!$B$23)</f>
        <v/>
      </c>
      <c r="I11" s="18">
        <f>C11*H11</f>
        <v/>
      </c>
      <c r="J11" s="18">
        <f>C11-I11-D11</f>
        <v/>
      </c>
      <c r="K11" s="19">
        <f>IF(E11=0,0,J11/E11)</f>
        <v/>
      </c>
      <c r="L11" s="32">
        <f>IF(الإعدادات!$B$17="حسب المنتج",(1-الإعدادات!$B$7)*F11,الإعدادات!$B$24)</f>
        <v/>
      </c>
      <c r="M11" s="20">
        <f>C11*L11</f>
        <v/>
      </c>
      <c r="N11" s="20">
        <f>C11-M11-D11</f>
        <v/>
      </c>
      <c r="O11" s="32">
        <f>IF(E11=0,0,N11/E11)</f>
        <v/>
      </c>
      <c r="P11" s="52">
        <f>IF(الإعدادات!$B$17="حسب المنتج",(1-الإعدادات!$B$8)*F11,الإعدادات!$B$25)</f>
        <v/>
      </c>
      <c r="Q11" s="53">
        <f>C11*P11</f>
        <v/>
      </c>
      <c r="R11" s="53">
        <f>C11-Q11-D11</f>
        <v/>
      </c>
      <c r="S11" s="34">
        <f>IF(E11=0,0,R11/E11)</f>
        <v/>
      </c>
      <c r="T11" s="25">
        <f>IF(S11+0.0000001&gt;=الإعدادات!$B$8,"يتحقق","أقل من الشرط")</f>
        <v/>
      </c>
    </row>
    <row r="12" ht="20" customHeight="1">
      <c r="A12" s="51" t="inlineStr">
        <is>
          <t>مقشر جسم</t>
        </is>
      </c>
      <c r="B12" s="51" t="inlineStr">
        <is>
          <t>Body Scrub - Coffee 300ml</t>
        </is>
      </c>
      <c r="C12" s="21" t="n">
        <v>8</v>
      </c>
      <c r="D12" s="21" t="n">
        <v>2.8</v>
      </c>
      <c r="E12" s="18">
        <f>C12-D12</f>
        <v/>
      </c>
      <c r="F12" s="19">
        <f>IF(C12=0,0,E12/C12)</f>
        <v/>
      </c>
      <c r="G12" s="39">
        <f>IF(ABS(F12-الإعدادات!$B$20)&lt;0.0000001,"نعم","")</f>
        <v/>
      </c>
      <c r="H12" s="19">
        <f>IF(الإعدادات!$B$17="حسب المنتج",(1-الإعدادات!$B$6)*F12,الإعدادات!$B$23)</f>
        <v/>
      </c>
      <c r="I12" s="18">
        <f>C12*H12</f>
        <v/>
      </c>
      <c r="J12" s="18">
        <f>C12-I12-D12</f>
        <v/>
      </c>
      <c r="K12" s="19">
        <f>IF(E12=0,0,J12/E12)</f>
        <v/>
      </c>
      <c r="L12" s="32">
        <f>IF(الإعدادات!$B$17="حسب المنتج",(1-الإعدادات!$B$7)*F12,الإعدادات!$B$24)</f>
        <v/>
      </c>
      <c r="M12" s="20">
        <f>C12*L12</f>
        <v/>
      </c>
      <c r="N12" s="20">
        <f>C12-M12-D12</f>
        <v/>
      </c>
      <c r="O12" s="32">
        <f>IF(E12=0,0,N12/E12)</f>
        <v/>
      </c>
      <c r="P12" s="52">
        <f>IF(الإعدادات!$B$17="حسب المنتج",(1-الإعدادات!$B$8)*F12,الإعدادات!$B$25)</f>
        <v/>
      </c>
      <c r="Q12" s="53">
        <f>C12*P12</f>
        <v/>
      </c>
      <c r="R12" s="53">
        <f>C12-Q12-D12</f>
        <v/>
      </c>
      <c r="S12" s="34">
        <f>IF(E12=0,0,R12/E12)</f>
        <v/>
      </c>
      <c r="T12" s="25">
        <f>IF(S12+0.0000001&gt;=الإعدادات!$B$8,"يتحقق","أقل من الشرط")</f>
        <v/>
      </c>
    </row>
    <row r="13" ht="20" customHeight="1">
      <c r="A13" s="51" t="inlineStr">
        <is>
          <t>مقشر جسم</t>
        </is>
      </c>
      <c r="B13" s="51" t="inlineStr">
        <is>
          <t>Body Scrub - Dovey 300ml</t>
        </is>
      </c>
      <c r="C13" s="21" t="n">
        <v>8</v>
      </c>
      <c r="D13" s="21" t="n">
        <v>2.8</v>
      </c>
      <c r="E13" s="18">
        <f>C13-D13</f>
        <v/>
      </c>
      <c r="F13" s="19">
        <f>IF(C13=0,0,E13/C13)</f>
        <v/>
      </c>
      <c r="G13" s="39">
        <f>IF(ABS(F13-الإعدادات!$B$20)&lt;0.0000001,"نعم","")</f>
        <v/>
      </c>
      <c r="H13" s="19">
        <f>IF(الإعدادات!$B$17="حسب المنتج",(1-الإعدادات!$B$6)*F13,الإعدادات!$B$23)</f>
        <v/>
      </c>
      <c r="I13" s="18">
        <f>C13*H13</f>
        <v/>
      </c>
      <c r="J13" s="18">
        <f>C13-I13-D13</f>
        <v/>
      </c>
      <c r="K13" s="19">
        <f>IF(E13=0,0,J13/E13)</f>
        <v/>
      </c>
      <c r="L13" s="32">
        <f>IF(الإعدادات!$B$17="حسب المنتج",(1-الإعدادات!$B$7)*F13,الإعدادات!$B$24)</f>
        <v/>
      </c>
      <c r="M13" s="20">
        <f>C13*L13</f>
        <v/>
      </c>
      <c r="N13" s="20">
        <f>C13-M13-D13</f>
        <v/>
      </c>
      <c r="O13" s="32">
        <f>IF(E13=0,0,N13/E13)</f>
        <v/>
      </c>
      <c r="P13" s="52">
        <f>IF(الإعدادات!$B$17="حسب المنتج",(1-الإعدادات!$B$8)*F13,الإعدادات!$B$25)</f>
        <v/>
      </c>
      <c r="Q13" s="53">
        <f>C13*P13</f>
        <v/>
      </c>
      <c r="R13" s="53">
        <f>C13-Q13-D13</f>
        <v/>
      </c>
      <c r="S13" s="34">
        <f>IF(E13=0,0,R13/E13)</f>
        <v/>
      </c>
      <c r="T13" s="25">
        <f>IF(S13+0.0000001&gt;=الإعدادات!$B$8,"يتحقق","أقل من الشرط")</f>
        <v/>
      </c>
    </row>
    <row r="14" ht="20" customHeight="1">
      <c r="A14" s="51" t="inlineStr">
        <is>
          <t>مقشر جسم</t>
        </is>
      </c>
      <c r="B14" s="51" t="inlineStr">
        <is>
          <t>Body Scrub - Liligum 300ml</t>
        </is>
      </c>
      <c r="C14" s="21" t="n">
        <v>8</v>
      </c>
      <c r="D14" s="21" t="n">
        <v>2.8</v>
      </c>
      <c r="E14" s="18">
        <f>C14-D14</f>
        <v/>
      </c>
      <c r="F14" s="19">
        <f>IF(C14=0,0,E14/C14)</f>
        <v/>
      </c>
      <c r="G14" s="39">
        <f>IF(ABS(F14-الإعدادات!$B$20)&lt;0.0000001,"نعم","")</f>
        <v/>
      </c>
      <c r="H14" s="19">
        <f>IF(الإعدادات!$B$17="حسب المنتج",(1-الإعدادات!$B$6)*F14,الإعدادات!$B$23)</f>
        <v/>
      </c>
      <c r="I14" s="18">
        <f>C14*H14</f>
        <v/>
      </c>
      <c r="J14" s="18">
        <f>C14-I14-D14</f>
        <v/>
      </c>
      <c r="K14" s="19">
        <f>IF(E14=0,0,J14/E14)</f>
        <v/>
      </c>
      <c r="L14" s="32">
        <f>IF(الإعدادات!$B$17="حسب المنتج",(1-الإعدادات!$B$7)*F14,الإعدادات!$B$24)</f>
        <v/>
      </c>
      <c r="M14" s="20">
        <f>C14*L14</f>
        <v/>
      </c>
      <c r="N14" s="20">
        <f>C14-M14-D14</f>
        <v/>
      </c>
      <c r="O14" s="32">
        <f>IF(E14=0,0,N14/E14)</f>
        <v/>
      </c>
      <c r="P14" s="52">
        <f>IF(الإعدادات!$B$17="حسب المنتج",(1-الإعدادات!$B$8)*F14,الإعدادات!$B$25)</f>
        <v/>
      </c>
      <c r="Q14" s="53">
        <f>C14*P14</f>
        <v/>
      </c>
      <c r="R14" s="53">
        <f>C14-Q14-D14</f>
        <v/>
      </c>
      <c r="S14" s="34">
        <f>IF(E14=0,0,R14/E14)</f>
        <v/>
      </c>
      <c r="T14" s="25">
        <f>IF(S14+0.0000001&gt;=الإعدادات!$B$8,"يتحقق","أقل من الشرط")</f>
        <v/>
      </c>
    </row>
    <row r="15" ht="20" customHeight="1">
      <c r="A15" s="51" t="inlineStr">
        <is>
          <t>مقشر جسم</t>
        </is>
      </c>
      <c r="B15" s="51" t="inlineStr">
        <is>
          <t>Body Scrub - Misk 300ml</t>
        </is>
      </c>
      <c r="C15" s="21" t="n">
        <v>8</v>
      </c>
      <c r="D15" s="21" t="n">
        <v>2.8</v>
      </c>
      <c r="E15" s="18">
        <f>C15-D15</f>
        <v/>
      </c>
      <c r="F15" s="19">
        <f>IF(C15=0,0,E15/C15)</f>
        <v/>
      </c>
      <c r="G15" s="39">
        <f>IF(ABS(F15-الإعدادات!$B$20)&lt;0.0000001,"نعم","")</f>
        <v/>
      </c>
      <c r="H15" s="19">
        <f>IF(الإعدادات!$B$17="حسب المنتج",(1-الإعدادات!$B$6)*F15,الإعدادات!$B$23)</f>
        <v/>
      </c>
      <c r="I15" s="18">
        <f>C15*H15</f>
        <v/>
      </c>
      <c r="J15" s="18">
        <f>C15-I15-D15</f>
        <v/>
      </c>
      <c r="K15" s="19">
        <f>IF(E15=0,0,J15/E15)</f>
        <v/>
      </c>
      <c r="L15" s="32">
        <f>IF(الإعدادات!$B$17="حسب المنتج",(1-الإعدادات!$B$7)*F15,الإعدادات!$B$24)</f>
        <v/>
      </c>
      <c r="M15" s="20">
        <f>C15*L15</f>
        <v/>
      </c>
      <c r="N15" s="20">
        <f>C15-M15-D15</f>
        <v/>
      </c>
      <c r="O15" s="32">
        <f>IF(E15=0,0,N15/E15)</f>
        <v/>
      </c>
      <c r="P15" s="52">
        <f>IF(الإعدادات!$B$17="حسب المنتج",(1-الإعدادات!$B$8)*F15,الإعدادات!$B$25)</f>
        <v/>
      </c>
      <c r="Q15" s="53">
        <f>C15*P15</f>
        <v/>
      </c>
      <c r="R15" s="53">
        <f>C15-Q15-D15</f>
        <v/>
      </c>
      <c r="S15" s="34">
        <f>IF(E15=0,0,R15/E15)</f>
        <v/>
      </c>
      <c r="T15" s="25">
        <f>IF(S15+0.0000001&gt;=الإعدادات!$B$8,"يتحقق","أقل من الشرط")</f>
        <v/>
      </c>
    </row>
    <row r="16" ht="20" customHeight="1">
      <c r="A16" s="51" t="inlineStr">
        <is>
          <t>مقشر جسم</t>
        </is>
      </c>
      <c r="B16" s="51" t="inlineStr">
        <is>
          <t>Body Scrub - Oak 300ml</t>
        </is>
      </c>
      <c r="C16" s="21" t="n">
        <v>8</v>
      </c>
      <c r="D16" s="21" t="n">
        <v>2.8</v>
      </c>
      <c r="E16" s="18">
        <f>C16-D16</f>
        <v/>
      </c>
      <c r="F16" s="19">
        <f>IF(C16=0,0,E16/C16)</f>
        <v/>
      </c>
      <c r="G16" s="39">
        <f>IF(ABS(F16-الإعدادات!$B$20)&lt;0.0000001,"نعم","")</f>
        <v/>
      </c>
      <c r="H16" s="19">
        <f>IF(الإعدادات!$B$17="حسب المنتج",(1-الإعدادات!$B$6)*F16,الإعدادات!$B$23)</f>
        <v/>
      </c>
      <c r="I16" s="18">
        <f>C16*H16</f>
        <v/>
      </c>
      <c r="J16" s="18">
        <f>C16-I16-D16</f>
        <v/>
      </c>
      <c r="K16" s="19">
        <f>IF(E16=0,0,J16/E16)</f>
        <v/>
      </c>
      <c r="L16" s="32">
        <f>IF(الإعدادات!$B$17="حسب المنتج",(1-الإعدادات!$B$7)*F16,الإعدادات!$B$24)</f>
        <v/>
      </c>
      <c r="M16" s="20">
        <f>C16*L16</f>
        <v/>
      </c>
      <c r="N16" s="20">
        <f>C16-M16-D16</f>
        <v/>
      </c>
      <c r="O16" s="32">
        <f>IF(E16=0,0,N16/E16)</f>
        <v/>
      </c>
      <c r="P16" s="52">
        <f>IF(الإعدادات!$B$17="حسب المنتج",(1-الإعدادات!$B$8)*F16,الإعدادات!$B$25)</f>
        <v/>
      </c>
      <c r="Q16" s="53">
        <f>C16*P16</f>
        <v/>
      </c>
      <c r="R16" s="53">
        <f>C16-Q16-D16</f>
        <v/>
      </c>
      <c r="S16" s="34">
        <f>IF(E16=0,0,R16/E16)</f>
        <v/>
      </c>
      <c r="T16" s="25">
        <f>IF(S16+0.0000001&gt;=الإعدادات!$B$8,"يتحقق","أقل من الشرط")</f>
        <v/>
      </c>
    </row>
    <row r="17" ht="20" customHeight="1">
      <c r="A17" s="51" t="inlineStr">
        <is>
          <t>مقشر جسم</t>
        </is>
      </c>
      <c r="B17" s="51" t="inlineStr">
        <is>
          <t>Body Scrub - Oud 300ml</t>
        </is>
      </c>
      <c r="C17" s="21" t="n">
        <v>8</v>
      </c>
      <c r="D17" s="21" t="n">
        <v>2.8</v>
      </c>
      <c r="E17" s="18">
        <f>C17-D17</f>
        <v/>
      </c>
      <c r="F17" s="19">
        <f>IF(C17=0,0,E17/C17)</f>
        <v/>
      </c>
      <c r="G17" s="39">
        <f>IF(ABS(F17-الإعدادات!$B$20)&lt;0.0000001,"نعم","")</f>
        <v/>
      </c>
      <c r="H17" s="19">
        <f>IF(الإعدادات!$B$17="حسب المنتج",(1-الإعدادات!$B$6)*F17,الإعدادات!$B$23)</f>
        <v/>
      </c>
      <c r="I17" s="18">
        <f>C17*H17</f>
        <v/>
      </c>
      <c r="J17" s="18">
        <f>C17-I17-D17</f>
        <v/>
      </c>
      <c r="K17" s="19">
        <f>IF(E17=0,0,J17/E17)</f>
        <v/>
      </c>
      <c r="L17" s="32">
        <f>IF(الإعدادات!$B$17="حسب المنتج",(1-الإعدادات!$B$7)*F17,الإعدادات!$B$24)</f>
        <v/>
      </c>
      <c r="M17" s="20">
        <f>C17*L17</f>
        <v/>
      </c>
      <c r="N17" s="20">
        <f>C17-M17-D17</f>
        <v/>
      </c>
      <c r="O17" s="32">
        <f>IF(E17=0,0,N17/E17)</f>
        <v/>
      </c>
      <c r="P17" s="52">
        <f>IF(الإعدادات!$B$17="حسب المنتج",(1-الإعدادات!$B$8)*F17,الإعدادات!$B$25)</f>
        <v/>
      </c>
      <c r="Q17" s="53">
        <f>C17*P17</f>
        <v/>
      </c>
      <c r="R17" s="53">
        <f>C17-Q17-D17</f>
        <v/>
      </c>
      <c r="S17" s="34">
        <f>IF(E17=0,0,R17/E17)</f>
        <v/>
      </c>
      <c r="T17" s="25">
        <f>IF(S17+0.0000001&gt;=الإعدادات!$B$8,"يتحقق","أقل من الشرط")</f>
        <v/>
      </c>
    </row>
    <row r="18" ht="20" customHeight="1">
      <c r="A18" s="51" t="inlineStr">
        <is>
          <t>صابون سائل</t>
        </is>
      </c>
      <c r="B18" s="51" t="inlineStr">
        <is>
          <t>Liquid Soap - Dovey 300ml</t>
        </is>
      </c>
      <c r="C18" s="21" t="n">
        <v>3.5</v>
      </c>
      <c r="D18" s="21" t="n">
        <v>1.65</v>
      </c>
      <c r="E18" s="18">
        <f>C18-D18</f>
        <v/>
      </c>
      <c r="F18" s="19">
        <f>IF(C18=0,0,E18/C18)</f>
        <v/>
      </c>
      <c r="G18" s="39">
        <f>IF(ABS(F18-الإعدادات!$B$20)&lt;0.0000001,"نعم","")</f>
        <v/>
      </c>
      <c r="H18" s="19">
        <f>IF(الإعدادات!$B$17="حسب المنتج",(1-الإعدادات!$B$6)*F18,الإعدادات!$B$23)</f>
        <v/>
      </c>
      <c r="I18" s="18">
        <f>C18*H18</f>
        <v/>
      </c>
      <c r="J18" s="18">
        <f>C18-I18-D18</f>
        <v/>
      </c>
      <c r="K18" s="19">
        <f>IF(E18=0,0,J18/E18)</f>
        <v/>
      </c>
      <c r="L18" s="32">
        <f>IF(الإعدادات!$B$17="حسب المنتج",(1-الإعدادات!$B$7)*F18,الإعدادات!$B$24)</f>
        <v/>
      </c>
      <c r="M18" s="20">
        <f>C18*L18</f>
        <v/>
      </c>
      <c r="N18" s="20">
        <f>C18-M18-D18</f>
        <v/>
      </c>
      <c r="O18" s="32">
        <f>IF(E18=0,0,N18/E18)</f>
        <v/>
      </c>
      <c r="P18" s="52">
        <f>IF(الإعدادات!$B$17="حسب المنتج",(1-الإعدادات!$B$8)*F18,الإعدادات!$B$25)</f>
        <v/>
      </c>
      <c r="Q18" s="53">
        <f>C18*P18</f>
        <v/>
      </c>
      <c r="R18" s="53">
        <f>C18-Q18-D18</f>
        <v/>
      </c>
      <c r="S18" s="34">
        <f>IF(E18=0,0,R18/E18)</f>
        <v/>
      </c>
      <c r="T18" s="25">
        <f>IF(S18+0.0000001&gt;=الإعدادات!$B$8,"يتحقق","أقل من الشرط")</f>
        <v/>
      </c>
    </row>
    <row r="19" ht="20" customHeight="1">
      <c r="A19" s="51" t="inlineStr">
        <is>
          <t>صابون سائل</t>
        </is>
      </c>
      <c r="B19" s="51" t="inlineStr">
        <is>
          <t>Liquid Soap - Lavender 300ml</t>
        </is>
      </c>
      <c r="C19" s="21" t="n">
        <v>3.5</v>
      </c>
      <c r="D19" s="21" t="n">
        <v>1.65</v>
      </c>
      <c r="E19" s="18">
        <f>C19-D19</f>
        <v/>
      </c>
      <c r="F19" s="19">
        <f>IF(C19=0,0,E19/C19)</f>
        <v/>
      </c>
      <c r="G19" s="39">
        <f>IF(ABS(F19-الإعدادات!$B$20)&lt;0.0000001,"نعم","")</f>
        <v/>
      </c>
      <c r="H19" s="19">
        <f>IF(الإعدادات!$B$17="حسب المنتج",(1-الإعدادات!$B$6)*F19,الإعدادات!$B$23)</f>
        <v/>
      </c>
      <c r="I19" s="18">
        <f>C19*H19</f>
        <v/>
      </c>
      <c r="J19" s="18">
        <f>C19-I19-D19</f>
        <v/>
      </c>
      <c r="K19" s="19">
        <f>IF(E19=0,0,J19/E19)</f>
        <v/>
      </c>
      <c r="L19" s="32">
        <f>IF(الإعدادات!$B$17="حسب المنتج",(1-الإعدادات!$B$7)*F19,الإعدادات!$B$24)</f>
        <v/>
      </c>
      <c r="M19" s="20">
        <f>C19*L19</f>
        <v/>
      </c>
      <c r="N19" s="20">
        <f>C19-M19-D19</f>
        <v/>
      </c>
      <c r="O19" s="32">
        <f>IF(E19=0,0,N19/E19)</f>
        <v/>
      </c>
      <c r="P19" s="52">
        <f>IF(الإعدادات!$B$17="حسب المنتج",(1-الإعدادات!$B$8)*F19,الإعدادات!$B$25)</f>
        <v/>
      </c>
      <c r="Q19" s="53">
        <f>C19*P19</f>
        <v/>
      </c>
      <c r="R19" s="53">
        <f>C19-Q19-D19</f>
        <v/>
      </c>
      <c r="S19" s="34">
        <f>IF(E19=0,0,R19/E19)</f>
        <v/>
      </c>
      <c r="T19" s="25">
        <f>IF(S19+0.0000001&gt;=الإعدادات!$B$8,"يتحقق","أقل من الشرط")</f>
        <v/>
      </c>
    </row>
    <row r="20" ht="20" customHeight="1">
      <c r="A20" s="51" t="inlineStr">
        <is>
          <t>صابون سائل</t>
        </is>
      </c>
      <c r="B20" s="51" t="inlineStr">
        <is>
          <t>Liquid Soap - Misk 300ml</t>
        </is>
      </c>
      <c r="C20" s="21" t="n">
        <v>3.5</v>
      </c>
      <c r="D20" s="21" t="n">
        <v>1.65</v>
      </c>
      <c r="E20" s="18">
        <f>C20-D20</f>
        <v/>
      </c>
      <c r="F20" s="19">
        <f>IF(C20=0,0,E20/C20)</f>
        <v/>
      </c>
      <c r="G20" s="39">
        <f>IF(ABS(F20-الإعدادات!$B$20)&lt;0.0000001,"نعم","")</f>
        <v/>
      </c>
      <c r="H20" s="19">
        <f>IF(الإعدادات!$B$17="حسب المنتج",(1-الإعدادات!$B$6)*F20,الإعدادات!$B$23)</f>
        <v/>
      </c>
      <c r="I20" s="18">
        <f>C20*H20</f>
        <v/>
      </c>
      <c r="J20" s="18">
        <f>C20-I20-D20</f>
        <v/>
      </c>
      <c r="K20" s="19">
        <f>IF(E20=0,0,J20/E20)</f>
        <v/>
      </c>
      <c r="L20" s="32">
        <f>IF(الإعدادات!$B$17="حسب المنتج",(1-الإعدادات!$B$7)*F20,الإعدادات!$B$24)</f>
        <v/>
      </c>
      <c r="M20" s="20">
        <f>C20*L20</f>
        <v/>
      </c>
      <c r="N20" s="20">
        <f>C20-M20-D20</f>
        <v/>
      </c>
      <c r="O20" s="32">
        <f>IF(E20=0,0,N20/E20)</f>
        <v/>
      </c>
      <c r="P20" s="52">
        <f>IF(الإعدادات!$B$17="حسب المنتج",(1-الإعدادات!$B$8)*F20,الإعدادات!$B$25)</f>
        <v/>
      </c>
      <c r="Q20" s="53">
        <f>C20*P20</f>
        <v/>
      </c>
      <c r="R20" s="53">
        <f>C20-Q20-D20</f>
        <v/>
      </c>
      <c r="S20" s="34">
        <f>IF(E20=0,0,R20/E20)</f>
        <v/>
      </c>
      <c r="T20" s="25">
        <f>IF(S20+0.0000001&gt;=الإعدادات!$B$8,"يتحقق","أقل من الشرط")</f>
        <v/>
      </c>
    </row>
    <row r="21" ht="20" customHeight="1">
      <c r="A21" s="51" t="inlineStr">
        <is>
          <t>صابون سائل</t>
        </is>
      </c>
      <c r="B21" s="51" t="inlineStr">
        <is>
          <t>Liquid Soap - Oud 300ml</t>
        </is>
      </c>
      <c r="C21" s="21" t="n">
        <v>3.5</v>
      </c>
      <c r="D21" s="21" t="n">
        <v>1.65</v>
      </c>
      <c r="E21" s="18">
        <f>C21-D21</f>
        <v/>
      </c>
      <c r="F21" s="19">
        <f>IF(C21=0,0,E21/C21)</f>
        <v/>
      </c>
      <c r="G21" s="39">
        <f>IF(ABS(F21-الإعدادات!$B$20)&lt;0.0000001,"نعم","")</f>
        <v/>
      </c>
      <c r="H21" s="19">
        <f>IF(الإعدادات!$B$17="حسب المنتج",(1-الإعدادات!$B$6)*F21,الإعدادات!$B$23)</f>
        <v/>
      </c>
      <c r="I21" s="18">
        <f>C21*H21</f>
        <v/>
      </c>
      <c r="J21" s="18">
        <f>C21-I21-D21</f>
        <v/>
      </c>
      <c r="K21" s="19">
        <f>IF(E21=0,0,J21/E21)</f>
        <v/>
      </c>
      <c r="L21" s="32">
        <f>IF(الإعدادات!$B$17="حسب المنتج",(1-الإعدادات!$B$7)*F21,الإعدادات!$B$24)</f>
        <v/>
      </c>
      <c r="M21" s="20">
        <f>C21*L21</f>
        <v/>
      </c>
      <c r="N21" s="20">
        <f>C21-M21-D21</f>
        <v/>
      </c>
      <c r="O21" s="32">
        <f>IF(E21=0,0,N21/E21)</f>
        <v/>
      </c>
      <c r="P21" s="52">
        <f>IF(الإعدادات!$B$17="حسب المنتج",(1-الإعدادات!$B$8)*F21,الإعدادات!$B$25)</f>
        <v/>
      </c>
      <c r="Q21" s="53">
        <f>C21*P21</f>
        <v/>
      </c>
      <c r="R21" s="53">
        <f>C21-Q21-D21</f>
        <v/>
      </c>
      <c r="S21" s="34">
        <f>IF(E21=0,0,R21/E21)</f>
        <v/>
      </c>
      <c r="T21" s="25">
        <f>IF(S21+0.0000001&gt;=الإعدادات!$B$8,"يتحقق","أقل من الشرط")</f>
        <v/>
      </c>
    </row>
    <row r="22" ht="20" customHeight="1">
      <c r="A22" s="51" t="inlineStr">
        <is>
          <t>صابون سائل</t>
        </is>
      </c>
      <c r="B22" s="51" t="inlineStr">
        <is>
          <t>Liquid Soap - oak 300ml</t>
        </is>
      </c>
      <c r="C22" s="21" t="n">
        <v>3.5</v>
      </c>
      <c r="D22" s="21" t="n">
        <v>1.65</v>
      </c>
      <c r="E22" s="18">
        <f>C22-D22</f>
        <v/>
      </c>
      <c r="F22" s="19">
        <f>IF(C22=0,0,E22/C22)</f>
        <v/>
      </c>
      <c r="G22" s="39">
        <f>IF(ABS(F22-الإعدادات!$B$20)&lt;0.0000001,"نعم","")</f>
        <v/>
      </c>
      <c r="H22" s="19">
        <f>IF(الإعدادات!$B$17="حسب المنتج",(1-الإعدادات!$B$6)*F22,الإعدادات!$B$23)</f>
        <v/>
      </c>
      <c r="I22" s="18">
        <f>C22*H22</f>
        <v/>
      </c>
      <c r="J22" s="18">
        <f>C22-I22-D22</f>
        <v/>
      </c>
      <c r="K22" s="19">
        <f>IF(E22=0,0,J22/E22)</f>
        <v/>
      </c>
      <c r="L22" s="32">
        <f>IF(الإعدادات!$B$17="حسب المنتج",(1-الإعدادات!$B$7)*F22,الإعدادات!$B$24)</f>
        <v/>
      </c>
      <c r="M22" s="20">
        <f>C22*L22</f>
        <v/>
      </c>
      <c r="N22" s="20">
        <f>C22-M22-D22</f>
        <v/>
      </c>
      <c r="O22" s="32">
        <f>IF(E22=0,0,N22/E22)</f>
        <v/>
      </c>
      <c r="P22" s="52">
        <f>IF(الإعدادات!$B$17="حسب المنتج",(1-الإعدادات!$B$8)*F22,الإعدادات!$B$25)</f>
        <v/>
      </c>
      <c r="Q22" s="53">
        <f>C22*P22</f>
        <v/>
      </c>
      <c r="R22" s="53">
        <f>C22-Q22-D22</f>
        <v/>
      </c>
      <c r="S22" s="34">
        <f>IF(E22=0,0,R22/E22)</f>
        <v/>
      </c>
      <c r="T22" s="25">
        <f>IF(S22+0.0000001&gt;=الإعدادات!$B$8,"يتحقق","أقل من الشرط")</f>
        <v/>
      </c>
    </row>
    <row r="23" ht="20" customHeight="1">
      <c r="A23" s="51" t="inlineStr">
        <is>
          <t>جل استحمام</t>
        </is>
      </c>
      <c r="B23" s="51" t="inlineStr">
        <is>
          <t>Shower Gel - Dovey 400ml</t>
        </is>
      </c>
      <c r="C23" s="21" t="n">
        <v>5</v>
      </c>
      <c r="D23" s="21" t="n">
        <v>1.95</v>
      </c>
      <c r="E23" s="18">
        <f>C23-D23</f>
        <v/>
      </c>
      <c r="F23" s="19">
        <f>IF(C23=0,0,E23/C23)</f>
        <v/>
      </c>
      <c r="G23" s="39">
        <f>IF(ABS(F23-الإعدادات!$B$20)&lt;0.0000001,"نعم","")</f>
        <v/>
      </c>
      <c r="H23" s="19">
        <f>IF(الإعدادات!$B$17="حسب المنتج",(1-الإعدادات!$B$6)*F23,الإعدادات!$B$23)</f>
        <v/>
      </c>
      <c r="I23" s="18">
        <f>C23*H23</f>
        <v/>
      </c>
      <c r="J23" s="18">
        <f>C23-I23-D23</f>
        <v/>
      </c>
      <c r="K23" s="19">
        <f>IF(E23=0,0,J23/E23)</f>
        <v/>
      </c>
      <c r="L23" s="32">
        <f>IF(الإعدادات!$B$17="حسب المنتج",(1-الإعدادات!$B$7)*F23,الإعدادات!$B$24)</f>
        <v/>
      </c>
      <c r="M23" s="20">
        <f>C23*L23</f>
        <v/>
      </c>
      <c r="N23" s="20">
        <f>C23-M23-D23</f>
        <v/>
      </c>
      <c r="O23" s="32">
        <f>IF(E23=0,0,N23/E23)</f>
        <v/>
      </c>
      <c r="P23" s="52">
        <f>IF(الإعدادات!$B$17="حسب المنتج",(1-الإعدادات!$B$8)*F23,الإعدادات!$B$25)</f>
        <v/>
      </c>
      <c r="Q23" s="53">
        <f>C23*P23</f>
        <v/>
      </c>
      <c r="R23" s="53">
        <f>C23-Q23-D23</f>
        <v/>
      </c>
      <c r="S23" s="34">
        <f>IF(E23=0,0,R23/E23)</f>
        <v/>
      </c>
      <c r="T23" s="25">
        <f>IF(S23+0.0000001&gt;=الإعدادات!$B$8,"يتحقق","أقل من الشرط")</f>
        <v/>
      </c>
    </row>
    <row r="24" ht="20" customHeight="1">
      <c r="A24" s="51" t="inlineStr">
        <is>
          <t>جل استحمام</t>
        </is>
      </c>
      <c r="B24" s="51" t="inlineStr">
        <is>
          <t>Shower Gel - Liligum 400ml</t>
        </is>
      </c>
      <c r="C24" s="21" t="n">
        <v>5</v>
      </c>
      <c r="D24" s="21" t="n">
        <v>1.95</v>
      </c>
      <c r="E24" s="18">
        <f>C24-D24</f>
        <v/>
      </c>
      <c r="F24" s="19">
        <f>IF(C24=0,0,E24/C24)</f>
        <v/>
      </c>
      <c r="G24" s="39">
        <f>IF(ABS(F24-الإعدادات!$B$20)&lt;0.0000001,"نعم","")</f>
        <v/>
      </c>
      <c r="H24" s="19">
        <f>IF(الإعدادات!$B$17="حسب المنتج",(1-الإعدادات!$B$6)*F24,الإعدادات!$B$23)</f>
        <v/>
      </c>
      <c r="I24" s="18">
        <f>C24*H24</f>
        <v/>
      </c>
      <c r="J24" s="18">
        <f>C24-I24-D24</f>
        <v/>
      </c>
      <c r="K24" s="19">
        <f>IF(E24=0,0,J24/E24)</f>
        <v/>
      </c>
      <c r="L24" s="32">
        <f>IF(الإعدادات!$B$17="حسب المنتج",(1-الإعدادات!$B$7)*F24,الإعدادات!$B$24)</f>
        <v/>
      </c>
      <c r="M24" s="20">
        <f>C24*L24</f>
        <v/>
      </c>
      <c r="N24" s="20">
        <f>C24-M24-D24</f>
        <v/>
      </c>
      <c r="O24" s="32">
        <f>IF(E24=0,0,N24/E24)</f>
        <v/>
      </c>
      <c r="P24" s="52">
        <f>IF(الإعدادات!$B$17="حسب المنتج",(1-الإعدادات!$B$8)*F24,الإعدادات!$B$25)</f>
        <v/>
      </c>
      <c r="Q24" s="53">
        <f>C24*P24</f>
        <v/>
      </c>
      <c r="R24" s="53">
        <f>C24-Q24-D24</f>
        <v/>
      </c>
      <c r="S24" s="34">
        <f>IF(E24=0,0,R24/E24)</f>
        <v/>
      </c>
      <c r="T24" s="25">
        <f>IF(S24+0.0000001&gt;=الإعدادات!$B$8,"يتحقق","أقل من الشرط")</f>
        <v/>
      </c>
    </row>
    <row r="25" ht="20" customHeight="1">
      <c r="A25" s="51" t="inlineStr">
        <is>
          <t>جل استحمام</t>
        </is>
      </c>
      <c r="B25" s="51" t="inlineStr">
        <is>
          <t>Shower Gel - Misk 400ml</t>
        </is>
      </c>
      <c r="C25" s="21" t="n">
        <v>5</v>
      </c>
      <c r="D25" s="21" t="n">
        <v>1.95</v>
      </c>
      <c r="E25" s="18">
        <f>C25-D25</f>
        <v/>
      </c>
      <c r="F25" s="19">
        <f>IF(C25=0,0,E25/C25)</f>
        <v/>
      </c>
      <c r="G25" s="39">
        <f>IF(ABS(F25-الإعدادات!$B$20)&lt;0.0000001,"نعم","")</f>
        <v/>
      </c>
      <c r="H25" s="19">
        <f>IF(الإعدادات!$B$17="حسب المنتج",(1-الإعدادات!$B$6)*F25,الإعدادات!$B$23)</f>
        <v/>
      </c>
      <c r="I25" s="18">
        <f>C25*H25</f>
        <v/>
      </c>
      <c r="J25" s="18">
        <f>C25-I25-D25</f>
        <v/>
      </c>
      <c r="K25" s="19">
        <f>IF(E25=0,0,J25/E25)</f>
        <v/>
      </c>
      <c r="L25" s="32">
        <f>IF(الإعدادات!$B$17="حسب المنتج",(1-الإعدادات!$B$7)*F25,الإعدادات!$B$24)</f>
        <v/>
      </c>
      <c r="M25" s="20">
        <f>C25*L25</f>
        <v/>
      </c>
      <c r="N25" s="20">
        <f>C25-M25-D25</f>
        <v/>
      </c>
      <c r="O25" s="32">
        <f>IF(E25=0,0,N25/E25)</f>
        <v/>
      </c>
      <c r="P25" s="52">
        <f>IF(الإعدادات!$B$17="حسب المنتج",(1-الإعدادات!$B$8)*F25,الإعدادات!$B$25)</f>
        <v/>
      </c>
      <c r="Q25" s="53">
        <f>C25*P25</f>
        <v/>
      </c>
      <c r="R25" s="53">
        <f>C25-Q25-D25</f>
        <v/>
      </c>
      <c r="S25" s="34">
        <f>IF(E25=0,0,R25/E25)</f>
        <v/>
      </c>
      <c r="T25" s="25">
        <f>IF(S25+0.0000001&gt;=الإعدادات!$B$8,"يتحقق","أقل من الشرط")</f>
        <v/>
      </c>
    </row>
    <row r="26" ht="20" customHeight="1">
      <c r="A26" s="51" t="inlineStr">
        <is>
          <t>جل استحمام</t>
        </is>
      </c>
      <c r="B26" s="51" t="inlineStr">
        <is>
          <t>Shower Gel - Oak 400ml</t>
        </is>
      </c>
      <c r="C26" s="21" t="n">
        <v>5</v>
      </c>
      <c r="D26" s="21" t="n">
        <v>1.95</v>
      </c>
      <c r="E26" s="18">
        <f>C26-D26</f>
        <v/>
      </c>
      <c r="F26" s="19">
        <f>IF(C26=0,0,E26/C26)</f>
        <v/>
      </c>
      <c r="G26" s="39">
        <f>IF(ABS(F26-الإعدادات!$B$20)&lt;0.0000001,"نعم","")</f>
        <v/>
      </c>
      <c r="H26" s="19">
        <f>IF(الإعدادات!$B$17="حسب المنتج",(1-الإعدادات!$B$6)*F26,الإعدادات!$B$23)</f>
        <v/>
      </c>
      <c r="I26" s="18">
        <f>C26*H26</f>
        <v/>
      </c>
      <c r="J26" s="18">
        <f>C26-I26-D26</f>
        <v/>
      </c>
      <c r="K26" s="19">
        <f>IF(E26=0,0,J26/E26)</f>
        <v/>
      </c>
      <c r="L26" s="32">
        <f>IF(الإعدادات!$B$17="حسب المنتج",(1-الإعدادات!$B$7)*F26,الإعدادات!$B$24)</f>
        <v/>
      </c>
      <c r="M26" s="20">
        <f>C26*L26</f>
        <v/>
      </c>
      <c r="N26" s="20">
        <f>C26-M26-D26</f>
        <v/>
      </c>
      <c r="O26" s="32">
        <f>IF(E26=0,0,N26/E26)</f>
        <v/>
      </c>
      <c r="P26" s="52">
        <f>IF(الإعدادات!$B$17="حسب المنتج",(1-الإعدادات!$B$8)*F26,الإعدادات!$B$25)</f>
        <v/>
      </c>
      <c r="Q26" s="53">
        <f>C26*P26</f>
        <v/>
      </c>
      <c r="R26" s="53">
        <f>C26-Q26-D26</f>
        <v/>
      </c>
      <c r="S26" s="34">
        <f>IF(E26=0,0,R26/E26)</f>
        <v/>
      </c>
      <c r="T26" s="25">
        <f>IF(S26+0.0000001&gt;=الإعدادات!$B$8,"يتحقق","أقل من الشرط")</f>
        <v/>
      </c>
    </row>
    <row r="27" ht="20" customHeight="1">
      <c r="A27" s="51" t="inlineStr">
        <is>
          <t>جل استحمام</t>
        </is>
      </c>
      <c r="B27" s="51" t="inlineStr">
        <is>
          <t>Shower Gel - Oud 400ml</t>
        </is>
      </c>
      <c r="C27" s="21" t="n">
        <v>5</v>
      </c>
      <c r="D27" s="21" t="n">
        <v>1.95</v>
      </c>
      <c r="E27" s="18">
        <f>C27-D27</f>
        <v/>
      </c>
      <c r="F27" s="19">
        <f>IF(C27=0,0,E27/C27)</f>
        <v/>
      </c>
      <c r="G27" s="39">
        <f>IF(ABS(F27-الإعدادات!$B$20)&lt;0.0000001,"نعم","")</f>
        <v/>
      </c>
      <c r="H27" s="19">
        <f>IF(الإعدادات!$B$17="حسب المنتج",(1-الإعدادات!$B$6)*F27,الإعدادات!$B$23)</f>
        <v/>
      </c>
      <c r="I27" s="18">
        <f>C27*H27</f>
        <v/>
      </c>
      <c r="J27" s="18">
        <f>C27-I27-D27</f>
        <v/>
      </c>
      <c r="K27" s="19">
        <f>IF(E27=0,0,J27/E27)</f>
        <v/>
      </c>
      <c r="L27" s="32">
        <f>IF(الإعدادات!$B$17="حسب المنتج",(1-الإعدادات!$B$7)*F27,الإعدادات!$B$24)</f>
        <v/>
      </c>
      <c r="M27" s="20">
        <f>C27*L27</f>
        <v/>
      </c>
      <c r="N27" s="20">
        <f>C27-M27-D27</f>
        <v/>
      </c>
      <c r="O27" s="32">
        <f>IF(E27=0,0,N27/E27)</f>
        <v/>
      </c>
      <c r="P27" s="52">
        <f>IF(الإعدادات!$B$17="حسب المنتج",(1-الإعدادات!$B$8)*F27,الإعدادات!$B$25)</f>
        <v/>
      </c>
      <c r="Q27" s="53">
        <f>C27*P27</f>
        <v/>
      </c>
      <c r="R27" s="53">
        <f>C27-Q27-D27</f>
        <v/>
      </c>
      <c r="S27" s="34">
        <f>IF(E27=0,0,R27/E27)</f>
        <v/>
      </c>
      <c r="T27" s="25">
        <f>IF(S27+0.0000001&gt;=الإعدادات!$B$8,"يتحقق","أقل من الشرط")</f>
        <v/>
      </c>
    </row>
  </sheetData>
  <autoFilter ref="A3:T27"/>
  <mergeCells count="2">
    <mergeCell ref="A1:T1"/>
    <mergeCell ref="A2:T2"/>
  </mergeCells>
  <conditionalFormatting sqref="G4:G27">
    <cfRule type="cellIs" priority="1" operator="equal" dxfId="0">
      <formula>"نعم"</formula>
    </cfRule>
  </conditionalFormatting>
  <pageMargins left="0.5" right="0.5" top="0.6" bottom="0.6" header="0.3" footer="0.3"/>
  <pageSetup orientation="landscape" paperSize="9" scale="80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 fitToPage="0"/>
  </sheetPr>
  <dimension ref="A1:L49"/>
  <sheetViews>
    <sheetView showGridLines="1" rightToLeft="1" view="normal" zoomScale="100" zoomScaleNormal="100" workbookViewId="0">
      <pane ySplit="15" topLeftCell="A16" activePane="bottomLeft" state="frozen"/>
      <selection pane="bottomLeft" activeCell="A16" sqref="A16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  <col width="14" customWidth="1" min="9" max="9"/>
    <col width="16" customWidth="1" min="10" max="10"/>
    <col width="14" customWidth="1" min="11" max="11"/>
    <col width="16" customWidth="1" min="12" max="12"/>
  </cols>
  <sheetData>
    <row r="1" ht="30" customHeight="1">
      <c r="A1" s="1" t="inlineStr">
        <is>
          <t>حاسبة المبيعات الشهرية</t>
        </is>
      </c>
    </row>
    <row r="2" ht="24" customHeight="1">
      <c r="A2" s="2" t="inlineStr">
        <is>
          <t>اكتب الكمية المتوقعة في العمود الأصفر. الشريحة والعمولة وصافي المالك تُحسب بالدوال من ورقة المنتجات وورقة الإعدادات.</t>
        </is>
      </c>
    </row>
    <row r="4">
      <c r="A4" s="8" t="inlineStr">
        <is>
          <t>إجمالي المبيعات</t>
        </is>
      </c>
      <c r="B4" s="54">
        <f>SUM(F16:F39)</f>
        <v/>
      </c>
      <c r="C4" s="16" t="n"/>
    </row>
    <row r="5">
      <c r="A5" s="8" t="inlineStr">
        <is>
          <t>إجمالي التكلفة</t>
        </is>
      </c>
      <c r="B5" s="54">
        <f>SUM(G16:G39)</f>
        <v/>
      </c>
      <c r="C5" s="16" t="n"/>
    </row>
    <row r="6">
      <c r="A6" s="8" t="inlineStr">
        <is>
          <t>إجمالي الربح</t>
        </is>
      </c>
      <c r="B6" s="54">
        <f>B4-B5</f>
        <v/>
      </c>
      <c r="C6" s="16" t="n"/>
    </row>
    <row r="7">
      <c r="A7" s="8" t="inlineStr">
        <is>
          <t>الشريحة</t>
        </is>
      </c>
      <c r="B7" s="55">
        <f>IF(B4=0,"أدخل الكميات",IF(B4&lt;=الإعدادات!C12,"الأساسية",IF(B4&lt;=الإعدادات!C13,"المتوسطة","العليا")))</f>
        <v/>
      </c>
      <c r="C7" s="16" t="n"/>
    </row>
    <row r="8">
      <c r="A8" s="8" t="inlineStr">
        <is>
          <t>نسبة العمولة</t>
        </is>
      </c>
      <c r="B8" s="41">
        <f>IF(B4=0,0,IF(الإعدادات!B17="حسب المنتج","حسب المنتج",IF(B7="الأساسية",الإعدادات!B23,IF(B7="المتوسطة",الإعدادات!B24,الإعدادات!B25))))</f>
        <v/>
      </c>
      <c r="C8" s="16" t="n"/>
    </row>
    <row r="9">
      <c r="A9" s="8" t="inlineStr">
        <is>
          <t>عمولة الشركة</t>
        </is>
      </c>
      <c r="B9" s="54">
        <f>SUM(J16:J39)</f>
        <v/>
      </c>
      <c r="C9" s="16" t="n"/>
    </row>
    <row r="10">
      <c r="A10" s="8" t="inlineStr">
        <is>
          <t>صافي المالك</t>
        </is>
      </c>
      <c r="B10" s="54">
        <f>B4-B5-B9</f>
        <v/>
      </c>
      <c r="C10" s="16" t="n"/>
    </row>
    <row r="11">
      <c r="A11" s="8" t="inlineStr">
        <is>
          <t>حصة المالك من الربح</t>
        </is>
      </c>
      <c r="B11" s="56">
        <f>IF(B6=0,0,B10/B6)</f>
        <v/>
      </c>
      <c r="C11" s="16" t="n"/>
    </row>
    <row r="12">
      <c r="A12" s="8" t="inlineStr">
        <is>
          <t>شرط الشريحة الحالية</t>
        </is>
      </c>
      <c r="B12" s="55">
        <f>IF(B6=0,"—",IF(B11+0.0000001&gt;=IF(B7="الأساسية",الإعدادات!B6,IF(B7="المتوسطة",الإعدادات!B7,الإعدادات!B8)),"يتحقق","أقل من الشرط"))</f>
        <v/>
      </c>
      <c r="C12" s="16" t="n"/>
    </row>
    <row r="14">
      <c r="A14" s="3" t="inlineStr">
        <is>
          <t>إذا ظهرت النسبة كنص «حسب المنتج» فالعمولة تختلف من صنف إلى صنف، والتفاصيل في الجدول.</t>
        </is>
      </c>
    </row>
    <row r="15" ht="32" customHeight="1">
      <c r="A15" s="4" t="inlineStr">
        <is>
          <t>المنتج</t>
        </is>
      </c>
      <c r="B15" s="4" t="inlineStr">
        <is>
          <t>التصنيف</t>
        </is>
      </c>
      <c r="C15" s="4" t="inlineStr">
        <is>
          <t>سعر البيع</t>
        </is>
      </c>
      <c r="D15" s="4" t="inlineStr">
        <is>
          <t>التكلفة</t>
        </is>
      </c>
      <c r="E15" s="4" t="inlineStr">
        <is>
          <t>الكمية</t>
        </is>
      </c>
      <c r="F15" s="4" t="inlineStr">
        <is>
          <t>المبيعات</t>
        </is>
      </c>
      <c r="G15" s="4" t="inlineStr">
        <is>
          <t>إجمالي التكلفة</t>
        </is>
      </c>
      <c r="H15" s="4" t="inlineStr">
        <is>
          <t>الربح</t>
        </is>
      </c>
      <c r="I15" s="4" t="inlineStr">
        <is>
          <t>نسبة العمولة</t>
        </is>
      </c>
      <c r="J15" s="4" t="inlineStr">
        <is>
          <t>عمولة الشركة</t>
        </is>
      </c>
      <c r="K15" s="4" t="inlineStr">
        <is>
          <t>صافي المالك</t>
        </is>
      </c>
      <c r="L15" s="4" t="inlineStr">
        <is>
          <t>حصته من الربح</t>
        </is>
      </c>
    </row>
    <row r="16" ht="20" customHeight="1">
      <c r="A16" s="51">
        <f>المنتجات!B4</f>
        <v/>
      </c>
      <c r="B16" s="51">
        <f>المنتجات!A4</f>
        <v/>
      </c>
      <c r="C16" s="57">
        <f>المنتجات!C4</f>
        <v/>
      </c>
      <c r="D16" s="57">
        <f>المنتجات!D4</f>
        <v/>
      </c>
      <c r="E16" s="58" t="n"/>
      <c r="F16" s="18">
        <f>IF(E16="",0,E16)*C16</f>
        <v/>
      </c>
      <c r="G16" s="18">
        <f>IF(E16="",0,E16)*D16</f>
        <v/>
      </c>
      <c r="H16" s="18">
        <f>F16-G16</f>
        <v/>
      </c>
      <c r="I16" s="19">
        <f>IF($B$4=0,0,IF($B$4&lt;=الإعدادات!$C$12,المنتجات!H4,IF($B$4&lt;=الإعدادات!$C$13,المنتجات!L4,المنتجات!P4)))</f>
        <v/>
      </c>
      <c r="J16" s="18">
        <f>F16*I16</f>
        <v/>
      </c>
      <c r="K16" s="18">
        <f>F16-G16-J16</f>
        <v/>
      </c>
      <c r="L16" s="19">
        <f>IF(H16=0,0,K16/H16)</f>
        <v/>
      </c>
    </row>
    <row r="17" ht="20" customHeight="1">
      <c r="A17" s="51">
        <f>المنتجات!B5</f>
        <v/>
      </c>
      <c r="B17" s="51">
        <f>المنتجات!A5</f>
        <v/>
      </c>
      <c r="C17" s="57">
        <f>المنتجات!C5</f>
        <v/>
      </c>
      <c r="D17" s="57">
        <f>المنتجات!D5</f>
        <v/>
      </c>
      <c r="E17" s="58" t="n"/>
      <c r="F17" s="18">
        <f>IF(E17="",0,E17)*C17</f>
        <v/>
      </c>
      <c r="G17" s="18">
        <f>IF(E17="",0,E17)*D17</f>
        <v/>
      </c>
      <c r="H17" s="18">
        <f>F17-G17</f>
        <v/>
      </c>
      <c r="I17" s="19">
        <f>IF($B$4=0,0,IF($B$4&lt;=الإعدادات!$C$12,المنتجات!H5,IF($B$4&lt;=الإعدادات!$C$13,المنتجات!L5,المنتجات!P5)))</f>
        <v/>
      </c>
      <c r="J17" s="18">
        <f>F17*I17</f>
        <v/>
      </c>
      <c r="K17" s="18">
        <f>F17-G17-J17</f>
        <v/>
      </c>
      <c r="L17" s="19">
        <f>IF(H17=0,0,K17/H17)</f>
        <v/>
      </c>
    </row>
    <row r="18" ht="20" customHeight="1">
      <c r="A18" s="51">
        <f>المنتجات!B6</f>
        <v/>
      </c>
      <c r="B18" s="51">
        <f>المنتجات!A6</f>
        <v/>
      </c>
      <c r="C18" s="57">
        <f>المنتجات!C6</f>
        <v/>
      </c>
      <c r="D18" s="57">
        <f>المنتجات!D6</f>
        <v/>
      </c>
      <c r="E18" s="58" t="n"/>
      <c r="F18" s="18">
        <f>IF(E18="",0,E18)*C18</f>
        <v/>
      </c>
      <c r="G18" s="18">
        <f>IF(E18="",0,E18)*D18</f>
        <v/>
      </c>
      <c r="H18" s="18">
        <f>F18-G18</f>
        <v/>
      </c>
      <c r="I18" s="19">
        <f>IF($B$4=0,0,IF($B$4&lt;=الإعدادات!$C$12,المنتجات!H6,IF($B$4&lt;=الإعدادات!$C$13,المنتجات!L6,المنتجات!P6)))</f>
        <v/>
      </c>
      <c r="J18" s="18">
        <f>F18*I18</f>
        <v/>
      </c>
      <c r="K18" s="18">
        <f>F18-G18-J18</f>
        <v/>
      </c>
      <c r="L18" s="19">
        <f>IF(H18=0,0,K18/H18)</f>
        <v/>
      </c>
    </row>
    <row r="19" ht="20" customHeight="1">
      <c r="A19" s="51">
        <f>المنتجات!B7</f>
        <v/>
      </c>
      <c r="B19" s="51">
        <f>المنتجات!A7</f>
        <v/>
      </c>
      <c r="C19" s="57">
        <f>المنتجات!C7</f>
        <v/>
      </c>
      <c r="D19" s="57">
        <f>المنتجات!D7</f>
        <v/>
      </c>
      <c r="E19" s="58" t="n"/>
      <c r="F19" s="18">
        <f>IF(E19="",0,E19)*C19</f>
        <v/>
      </c>
      <c r="G19" s="18">
        <f>IF(E19="",0,E19)*D19</f>
        <v/>
      </c>
      <c r="H19" s="18">
        <f>F19-G19</f>
        <v/>
      </c>
      <c r="I19" s="19">
        <f>IF($B$4=0,0,IF($B$4&lt;=الإعدادات!$C$12,المنتجات!H7,IF($B$4&lt;=الإعدادات!$C$13,المنتجات!L7,المنتجات!P7)))</f>
        <v/>
      </c>
      <c r="J19" s="18">
        <f>F19*I19</f>
        <v/>
      </c>
      <c r="K19" s="18">
        <f>F19-G19-J19</f>
        <v/>
      </c>
      <c r="L19" s="19">
        <f>IF(H19=0,0,K19/H19)</f>
        <v/>
      </c>
    </row>
    <row r="20" ht="20" customHeight="1">
      <c r="A20" s="51">
        <f>المنتجات!B8</f>
        <v/>
      </c>
      <c r="B20" s="51">
        <f>المنتجات!A8</f>
        <v/>
      </c>
      <c r="C20" s="57">
        <f>المنتجات!C8</f>
        <v/>
      </c>
      <c r="D20" s="57">
        <f>المنتجات!D8</f>
        <v/>
      </c>
      <c r="E20" s="58" t="n"/>
      <c r="F20" s="18">
        <f>IF(E20="",0,E20)*C20</f>
        <v/>
      </c>
      <c r="G20" s="18">
        <f>IF(E20="",0,E20)*D20</f>
        <v/>
      </c>
      <c r="H20" s="18">
        <f>F20-G20</f>
        <v/>
      </c>
      <c r="I20" s="19">
        <f>IF($B$4=0,0,IF($B$4&lt;=الإعدادات!$C$12,المنتجات!H8,IF($B$4&lt;=الإعدادات!$C$13,المنتجات!L8,المنتجات!P8)))</f>
        <v/>
      </c>
      <c r="J20" s="18">
        <f>F20*I20</f>
        <v/>
      </c>
      <c r="K20" s="18">
        <f>F20-G20-J20</f>
        <v/>
      </c>
      <c r="L20" s="19">
        <f>IF(H20=0,0,K20/H20)</f>
        <v/>
      </c>
    </row>
    <row r="21" ht="20" customHeight="1">
      <c r="A21" s="51">
        <f>المنتجات!B9</f>
        <v/>
      </c>
      <c r="B21" s="51">
        <f>المنتجات!A9</f>
        <v/>
      </c>
      <c r="C21" s="57">
        <f>المنتجات!C9</f>
        <v/>
      </c>
      <c r="D21" s="57">
        <f>المنتجات!D9</f>
        <v/>
      </c>
      <c r="E21" s="58" t="n"/>
      <c r="F21" s="18">
        <f>IF(E21="",0,E21)*C21</f>
        <v/>
      </c>
      <c r="G21" s="18">
        <f>IF(E21="",0,E21)*D21</f>
        <v/>
      </c>
      <c r="H21" s="18">
        <f>F21-G21</f>
        <v/>
      </c>
      <c r="I21" s="19">
        <f>IF($B$4=0,0,IF($B$4&lt;=الإعدادات!$C$12,المنتجات!H9,IF($B$4&lt;=الإعدادات!$C$13,المنتجات!L9,المنتجات!P9)))</f>
        <v/>
      </c>
      <c r="J21" s="18">
        <f>F21*I21</f>
        <v/>
      </c>
      <c r="K21" s="18">
        <f>F21-G21-J21</f>
        <v/>
      </c>
      <c r="L21" s="19">
        <f>IF(H21=0,0,K21/H21)</f>
        <v/>
      </c>
    </row>
    <row r="22" ht="20" customHeight="1">
      <c r="A22" s="51">
        <f>المنتجات!B10</f>
        <v/>
      </c>
      <c r="B22" s="51">
        <f>المنتجات!A10</f>
        <v/>
      </c>
      <c r="C22" s="57">
        <f>المنتجات!C10</f>
        <v/>
      </c>
      <c r="D22" s="57">
        <f>المنتجات!D10</f>
        <v/>
      </c>
      <c r="E22" s="58" t="n"/>
      <c r="F22" s="18">
        <f>IF(E22="",0,E22)*C22</f>
        <v/>
      </c>
      <c r="G22" s="18">
        <f>IF(E22="",0,E22)*D22</f>
        <v/>
      </c>
      <c r="H22" s="18">
        <f>F22-G22</f>
        <v/>
      </c>
      <c r="I22" s="19">
        <f>IF($B$4=0,0,IF($B$4&lt;=الإعدادات!$C$12,المنتجات!H10,IF($B$4&lt;=الإعدادات!$C$13,المنتجات!L10,المنتجات!P10)))</f>
        <v/>
      </c>
      <c r="J22" s="18">
        <f>F22*I22</f>
        <v/>
      </c>
      <c r="K22" s="18">
        <f>F22-G22-J22</f>
        <v/>
      </c>
      <c r="L22" s="19">
        <f>IF(H22=0,0,K22/H22)</f>
        <v/>
      </c>
    </row>
    <row r="23" ht="20" customHeight="1">
      <c r="A23" s="51">
        <f>المنتجات!B11</f>
        <v/>
      </c>
      <c r="B23" s="51">
        <f>المنتجات!A11</f>
        <v/>
      </c>
      <c r="C23" s="57">
        <f>المنتجات!C11</f>
        <v/>
      </c>
      <c r="D23" s="57">
        <f>المنتجات!D11</f>
        <v/>
      </c>
      <c r="E23" s="58" t="n"/>
      <c r="F23" s="18">
        <f>IF(E23="",0,E23)*C23</f>
        <v/>
      </c>
      <c r="G23" s="18">
        <f>IF(E23="",0,E23)*D23</f>
        <v/>
      </c>
      <c r="H23" s="18">
        <f>F23-G23</f>
        <v/>
      </c>
      <c r="I23" s="19">
        <f>IF($B$4=0,0,IF($B$4&lt;=الإعدادات!$C$12,المنتجات!H11,IF($B$4&lt;=الإعدادات!$C$13,المنتجات!L11,المنتجات!P11)))</f>
        <v/>
      </c>
      <c r="J23" s="18">
        <f>F23*I23</f>
        <v/>
      </c>
      <c r="K23" s="18">
        <f>F23-G23-J23</f>
        <v/>
      </c>
      <c r="L23" s="19">
        <f>IF(H23=0,0,K23/H23)</f>
        <v/>
      </c>
    </row>
    <row r="24" ht="20" customHeight="1">
      <c r="A24" s="51">
        <f>المنتجات!B12</f>
        <v/>
      </c>
      <c r="B24" s="51">
        <f>المنتجات!A12</f>
        <v/>
      </c>
      <c r="C24" s="57">
        <f>المنتجات!C12</f>
        <v/>
      </c>
      <c r="D24" s="57">
        <f>المنتجات!D12</f>
        <v/>
      </c>
      <c r="E24" s="58" t="n"/>
      <c r="F24" s="18">
        <f>IF(E24="",0,E24)*C24</f>
        <v/>
      </c>
      <c r="G24" s="18">
        <f>IF(E24="",0,E24)*D24</f>
        <v/>
      </c>
      <c r="H24" s="18">
        <f>F24-G24</f>
        <v/>
      </c>
      <c r="I24" s="19">
        <f>IF($B$4=0,0,IF($B$4&lt;=الإعدادات!$C$12,المنتجات!H12,IF($B$4&lt;=الإعدادات!$C$13,المنتجات!L12,المنتجات!P12)))</f>
        <v/>
      </c>
      <c r="J24" s="18">
        <f>F24*I24</f>
        <v/>
      </c>
      <c r="K24" s="18">
        <f>F24-G24-J24</f>
        <v/>
      </c>
      <c r="L24" s="19">
        <f>IF(H24=0,0,K24/H24)</f>
        <v/>
      </c>
    </row>
    <row r="25" ht="20" customHeight="1">
      <c r="A25" s="51">
        <f>المنتجات!B13</f>
        <v/>
      </c>
      <c r="B25" s="51">
        <f>المنتجات!A13</f>
        <v/>
      </c>
      <c r="C25" s="57">
        <f>المنتجات!C13</f>
        <v/>
      </c>
      <c r="D25" s="57">
        <f>المنتجات!D13</f>
        <v/>
      </c>
      <c r="E25" s="58" t="n"/>
      <c r="F25" s="18">
        <f>IF(E25="",0,E25)*C25</f>
        <v/>
      </c>
      <c r="G25" s="18">
        <f>IF(E25="",0,E25)*D25</f>
        <v/>
      </c>
      <c r="H25" s="18">
        <f>F25-G25</f>
        <v/>
      </c>
      <c r="I25" s="19">
        <f>IF($B$4=0,0,IF($B$4&lt;=الإعدادات!$C$12,المنتجات!H13,IF($B$4&lt;=الإعدادات!$C$13,المنتجات!L13,المنتجات!P13)))</f>
        <v/>
      </c>
      <c r="J25" s="18">
        <f>F25*I25</f>
        <v/>
      </c>
      <c r="K25" s="18">
        <f>F25-G25-J25</f>
        <v/>
      </c>
      <c r="L25" s="19">
        <f>IF(H25=0,0,K25/H25)</f>
        <v/>
      </c>
    </row>
    <row r="26" ht="20" customHeight="1">
      <c r="A26" s="51">
        <f>المنتجات!B14</f>
        <v/>
      </c>
      <c r="B26" s="51">
        <f>المنتجات!A14</f>
        <v/>
      </c>
      <c r="C26" s="57">
        <f>المنتجات!C14</f>
        <v/>
      </c>
      <c r="D26" s="57">
        <f>المنتجات!D14</f>
        <v/>
      </c>
      <c r="E26" s="58" t="n"/>
      <c r="F26" s="18">
        <f>IF(E26="",0,E26)*C26</f>
        <v/>
      </c>
      <c r="G26" s="18">
        <f>IF(E26="",0,E26)*D26</f>
        <v/>
      </c>
      <c r="H26" s="18">
        <f>F26-G26</f>
        <v/>
      </c>
      <c r="I26" s="19">
        <f>IF($B$4=0,0,IF($B$4&lt;=الإعدادات!$C$12,المنتجات!H14,IF($B$4&lt;=الإعدادات!$C$13,المنتجات!L14,المنتجات!P14)))</f>
        <v/>
      </c>
      <c r="J26" s="18">
        <f>F26*I26</f>
        <v/>
      </c>
      <c r="K26" s="18">
        <f>F26-G26-J26</f>
        <v/>
      </c>
      <c r="L26" s="19">
        <f>IF(H26=0,0,K26/H26)</f>
        <v/>
      </c>
    </row>
    <row r="27" ht="20" customHeight="1">
      <c r="A27" s="51">
        <f>المنتجات!B15</f>
        <v/>
      </c>
      <c r="B27" s="51">
        <f>المنتجات!A15</f>
        <v/>
      </c>
      <c r="C27" s="57">
        <f>المنتجات!C15</f>
        <v/>
      </c>
      <c r="D27" s="57">
        <f>المنتجات!D15</f>
        <v/>
      </c>
      <c r="E27" s="58" t="n"/>
      <c r="F27" s="18">
        <f>IF(E27="",0,E27)*C27</f>
        <v/>
      </c>
      <c r="G27" s="18">
        <f>IF(E27="",0,E27)*D27</f>
        <v/>
      </c>
      <c r="H27" s="18">
        <f>F27-G27</f>
        <v/>
      </c>
      <c r="I27" s="19">
        <f>IF($B$4=0,0,IF($B$4&lt;=الإعدادات!$C$12,المنتجات!H15,IF($B$4&lt;=الإعدادات!$C$13,المنتجات!L15,المنتجات!P15)))</f>
        <v/>
      </c>
      <c r="J27" s="18">
        <f>F27*I27</f>
        <v/>
      </c>
      <c r="K27" s="18">
        <f>F27-G27-J27</f>
        <v/>
      </c>
      <c r="L27" s="19">
        <f>IF(H27=0,0,K27/H27)</f>
        <v/>
      </c>
    </row>
    <row r="28" ht="20" customHeight="1">
      <c r="A28" s="51">
        <f>المنتجات!B16</f>
        <v/>
      </c>
      <c r="B28" s="51">
        <f>المنتجات!A16</f>
        <v/>
      </c>
      <c r="C28" s="57">
        <f>المنتجات!C16</f>
        <v/>
      </c>
      <c r="D28" s="57">
        <f>المنتجات!D16</f>
        <v/>
      </c>
      <c r="E28" s="58" t="n"/>
      <c r="F28" s="18">
        <f>IF(E28="",0,E28)*C28</f>
        <v/>
      </c>
      <c r="G28" s="18">
        <f>IF(E28="",0,E28)*D28</f>
        <v/>
      </c>
      <c r="H28" s="18">
        <f>F28-G28</f>
        <v/>
      </c>
      <c r="I28" s="19">
        <f>IF($B$4=0,0,IF($B$4&lt;=الإعدادات!$C$12,المنتجات!H16,IF($B$4&lt;=الإعدادات!$C$13,المنتجات!L16,المنتجات!P16)))</f>
        <v/>
      </c>
      <c r="J28" s="18">
        <f>F28*I28</f>
        <v/>
      </c>
      <c r="K28" s="18">
        <f>F28-G28-J28</f>
        <v/>
      </c>
      <c r="L28" s="19">
        <f>IF(H28=0,0,K28/H28)</f>
        <v/>
      </c>
    </row>
    <row r="29" ht="20" customHeight="1">
      <c r="A29" s="51">
        <f>المنتجات!B17</f>
        <v/>
      </c>
      <c r="B29" s="51">
        <f>المنتجات!A17</f>
        <v/>
      </c>
      <c r="C29" s="57">
        <f>المنتجات!C17</f>
        <v/>
      </c>
      <c r="D29" s="57">
        <f>المنتجات!D17</f>
        <v/>
      </c>
      <c r="E29" s="58" t="n"/>
      <c r="F29" s="18">
        <f>IF(E29="",0,E29)*C29</f>
        <v/>
      </c>
      <c r="G29" s="18">
        <f>IF(E29="",0,E29)*D29</f>
        <v/>
      </c>
      <c r="H29" s="18">
        <f>F29-G29</f>
        <v/>
      </c>
      <c r="I29" s="19">
        <f>IF($B$4=0,0,IF($B$4&lt;=الإعدادات!$C$12,المنتجات!H17,IF($B$4&lt;=الإعدادات!$C$13,المنتجات!L17,المنتجات!P17)))</f>
        <v/>
      </c>
      <c r="J29" s="18">
        <f>F29*I29</f>
        <v/>
      </c>
      <c r="K29" s="18">
        <f>F29-G29-J29</f>
        <v/>
      </c>
      <c r="L29" s="19">
        <f>IF(H29=0,0,K29/H29)</f>
        <v/>
      </c>
    </row>
    <row r="30" ht="20" customHeight="1">
      <c r="A30" s="51">
        <f>المنتجات!B18</f>
        <v/>
      </c>
      <c r="B30" s="51">
        <f>المنتجات!A18</f>
        <v/>
      </c>
      <c r="C30" s="57">
        <f>المنتجات!C18</f>
        <v/>
      </c>
      <c r="D30" s="57">
        <f>المنتجات!D18</f>
        <v/>
      </c>
      <c r="E30" s="58" t="n"/>
      <c r="F30" s="18">
        <f>IF(E30="",0,E30)*C30</f>
        <v/>
      </c>
      <c r="G30" s="18">
        <f>IF(E30="",0,E30)*D30</f>
        <v/>
      </c>
      <c r="H30" s="18">
        <f>F30-G30</f>
        <v/>
      </c>
      <c r="I30" s="19">
        <f>IF($B$4=0,0,IF($B$4&lt;=الإعدادات!$C$12,المنتجات!H18,IF($B$4&lt;=الإعدادات!$C$13,المنتجات!L18,المنتجات!P18)))</f>
        <v/>
      </c>
      <c r="J30" s="18">
        <f>F30*I30</f>
        <v/>
      </c>
      <c r="K30" s="18">
        <f>F30-G30-J30</f>
        <v/>
      </c>
      <c r="L30" s="19">
        <f>IF(H30=0,0,K30/H30)</f>
        <v/>
      </c>
    </row>
    <row r="31" ht="20" customHeight="1">
      <c r="A31" s="51">
        <f>المنتجات!B19</f>
        <v/>
      </c>
      <c r="B31" s="51">
        <f>المنتجات!A19</f>
        <v/>
      </c>
      <c r="C31" s="57">
        <f>المنتجات!C19</f>
        <v/>
      </c>
      <c r="D31" s="57">
        <f>المنتجات!D19</f>
        <v/>
      </c>
      <c r="E31" s="58" t="n"/>
      <c r="F31" s="18">
        <f>IF(E31="",0,E31)*C31</f>
        <v/>
      </c>
      <c r="G31" s="18">
        <f>IF(E31="",0,E31)*D31</f>
        <v/>
      </c>
      <c r="H31" s="18">
        <f>F31-G31</f>
        <v/>
      </c>
      <c r="I31" s="19">
        <f>IF($B$4=0,0,IF($B$4&lt;=الإعدادات!$C$12,المنتجات!H19,IF($B$4&lt;=الإعدادات!$C$13,المنتجات!L19,المنتجات!P19)))</f>
        <v/>
      </c>
      <c r="J31" s="18">
        <f>F31*I31</f>
        <v/>
      </c>
      <c r="K31" s="18">
        <f>F31-G31-J31</f>
        <v/>
      </c>
      <c r="L31" s="19">
        <f>IF(H31=0,0,K31/H31)</f>
        <v/>
      </c>
    </row>
    <row r="32" ht="20" customHeight="1">
      <c r="A32" s="51">
        <f>المنتجات!B20</f>
        <v/>
      </c>
      <c r="B32" s="51">
        <f>المنتجات!A20</f>
        <v/>
      </c>
      <c r="C32" s="57">
        <f>المنتجات!C20</f>
        <v/>
      </c>
      <c r="D32" s="57">
        <f>المنتجات!D20</f>
        <v/>
      </c>
      <c r="E32" s="58" t="n"/>
      <c r="F32" s="18">
        <f>IF(E32="",0,E32)*C32</f>
        <v/>
      </c>
      <c r="G32" s="18">
        <f>IF(E32="",0,E32)*D32</f>
        <v/>
      </c>
      <c r="H32" s="18">
        <f>F32-G32</f>
        <v/>
      </c>
      <c r="I32" s="19">
        <f>IF($B$4=0,0,IF($B$4&lt;=الإعدادات!$C$12,المنتجات!H20,IF($B$4&lt;=الإعدادات!$C$13,المنتجات!L20,المنتجات!P20)))</f>
        <v/>
      </c>
      <c r="J32" s="18">
        <f>F32*I32</f>
        <v/>
      </c>
      <c r="K32" s="18">
        <f>F32-G32-J32</f>
        <v/>
      </c>
      <c r="L32" s="19">
        <f>IF(H32=0,0,K32/H32)</f>
        <v/>
      </c>
    </row>
    <row r="33" ht="20" customHeight="1">
      <c r="A33" s="51">
        <f>المنتجات!B21</f>
        <v/>
      </c>
      <c r="B33" s="51">
        <f>المنتجات!A21</f>
        <v/>
      </c>
      <c r="C33" s="57">
        <f>المنتجات!C21</f>
        <v/>
      </c>
      <c r="D33" s="57">
        <f>المنتجات!D21</f>
        <v/>
      </c>
      <c r="E33" s="58" t="n"/>
      <c r="F33" s="18">
        <f>IF(E33="",0,E33)*C33</f>
        <v/>
      </c>
      <c r="G33" s="18">
        <f>IF(E33="",0,E33)*D33</f>
        <v/>
      </c>
      <c r="H33" s="18">
        <f>F33-G33</f>
        <v/>
      </c>
      <c r="I33" s="19">
        <f>IF($B$4=0,0,IF($B$4&lt;=الإعدادات!$C$12,المنتجات!H21,IF($B$4&lt;=الإعدادات!$C$13,المنتجات!L21,المنتجات!P21)))</f>
        <v/>
      </c>
      <c r="J33" s="18">
        <f>F33*I33</f>
        <v/>
      </c>
      <c r="K33" s="18">
        <f>F33-G33-J33</f>
        <v/>
      </c>
      <c r="L33" s="19">
        <f>IF(H33=0,0,K33/H33)</f>
        <v/>
      </c>
    </row>
    <row r="34" ht="20" customHeight="1">
      <c r="A34" s="51">
        <f>المنتجات!B22</f>
        <v/>
      </c>
      <c r="B34" s="51">
        <f>المنتجات!A22</f>
        <v/>
      </c>
      <c r="C34" s="57">
        <f>المنتجات!C22</f>
        <v/>
      </c>
      <c r="D34" s="57">
        <f>المنتجات!D22</f>
        <v/>
      </c>
      <c r="E34" s="58" t="n"/>
      <c r="F34" s="18">
        <f>IF(E34="",0,E34)*C34</f>
        <v/>
      </c>
      <c r="G34" s="18">
        <f>IF(E34="",0,E34)*D34</f>
        <v/>
      </c>
      <c r="H34" s="18">
        <f>F34-G34</f>
        <v/>
      </c>
      <c r="I34" s="19">
        <f>IF($B$4=0,0,IF($B$4&lt;=الإعدادات!$C$12,المنتجات!H22,IF($B$4&lt;=الإعدادات!$C$13,المنتجات!L22,المنتجات!P22)))</f>
        <v/>
      </c>
      <c r="J34" s="18">
        <f>F34*I34</f>
        <v/>
      </c>
      <c r="K34" s="18">
        <f>F34-G34-J34</f>
        <v/>
      </c>
      <c r="L34" s="19">
        <f>IF(H34=0,0,K34/H34)</f>
        <v/>
      </c>
    </row>
    <row r="35" ht="20" customHeight="1">
      <c r="A35" s="51">
        <f>المنتجات!B23</f>
        <v/>
      </c>
      <c r="B35" s="51">
        <f>المنتجات!A23</f>
        <v/>
      </c>
      <c r="C35" s="57">
        <f>المنتجات!C23</f>
        <v/>
      </c>
      <c r="D35" s="57">
        <f>المنتجات!D23</f>
        <v/>
      </c>
      <c r="E35" s="58" t="n"/>
      <c r="F35" s="18">
        <f>IF(E35="",0,E35)*C35</f>
        <v/>
      </c>
      <c r="G35" s="18">
        <f>IF(E35="",0,E35)*D35</f>
        <v/>
      </c>
      <c r="H35" s="18">
        <f>F35-G35</f>
        <v/>
      </c>
      <c r="I35" s="19">
        <f>IF($B$4=0,0,IF($B$4&lt;=الإعدادات!$C$12,المنتجات!H23,IF($B$4&lt;=الإعدادات!$C$13,المنتجات!L23,المنتجات!P23)))</f>
        <v/>
      </c>
      <c r="J35" s="18">
        <f>F35*I35</f>
        <v/>
      </c>
      <c r="K35" s="18">
        <f>F35-G35-J35</f>
        <v/>
      </c>
      <c r="L35" s="19">
        <f>IF(H35=0,0,K35/H35)</f>
        <v/>
      </c>
    </row>
    <row r="36" ht="20" customHeight="1">
      <c r="A36" s="51">
        <f>المنتجات!B24</f>
        <v/>
      </c>
      <c r="B36" s="51">
        <f>المنتجات!A24</f>
        <v/>
      </c>
      <c r="C36" s="57">
        <f>المنتجات!C24</f>
        <v/>
      </c>
      <c r="D36" s="57">
        <f>المنتجات!D24</f>
        <v/>
      </c>
      <c r="E36" s="58" t="n"/>
      <c r="F36" s="18">
        <f>IF(E36="",0,E36)*C36</f>
        <v/>
      </c>
      <c r="G36" s="18">
        <f>IF(E36="",0,E36)*D36</f>
        <v/>
      </c>
      <c r="H36" s="18">
        <f>F36-G36</f>
        <v/>
      </c>
      <c r="I36" s="19">
        <f>IF($B$4=0,0,IF($B$4&lt;=الإعدادات!$C$12,المنتجات!H24,IF($B$4&lt;=الإعدادات!$C$13,المنتجات!L24,المنتجات!P24)))</f>
        <v/>
      </c>
      <c r="J36" s="18">
        <f>F36*I36</f>
        <v/>
      </c>
      <c r="K36" s="18">
        <f>F36-G36-J36</f>
        <v/>
      </c>
      <c r="L36" s="19">
        <f>IF(H36=0,0,K36/H36)</f>
        <v/>
      </c>
    </row>
    <row r="37" ht="20" customHeight="1">
      <c r="A37" s="51">
        <f>المنتجات!B25</f>
        <v/>
      </c>
      <c r="B37" s="51">
        <f>المنتجات!A25</f>
        <v/>
      </c>
      <c r="C37" s="57">
        <f>المنتجات!C25</f>
        <v/>
      </c>
      <c r="D37" s="57">
        <f>المنتجات!D25</f>
        <v/>
      </c>
      <c r="E37" s="58" t="n"/>
      <c r="F37" s="18">
        <f>IF(E37="",0,E37)*C37</f>
        <v/>
      </c>
      <c r="G37" s="18">
        <f>IF(E37="",0,E37)*D37</f>
        <v/>
      </c>
      <c r="H37" s="18">
        <f>F37-G37</f>
        <v/>
      </c>
      <c r="I37" s="19">
        <f>IF($B$4=0,0,IF($B$4&lt;=الإعدادات!$C$12,المنتجات!H25,IF($B$4&lt;=الإعدادات!$C$13,المنتجات!L25,المنتجات!P25)))</f>
        <v/>
      </c>
      <c r="J37" s="18">
        <f>F37*I37</f>
        <v/>
      </c>
      <c r="K37" s="18">
        <f>F37-G37-J37</f>
        <v/>
      </c>
      <c r="L37" s="19">
        <f>IF(H37=0,0,K37/H37)</f>
        <v/>
      </c>
    </row>
    <row r="38" ht="20" customHeight="1">
      <c r="A38" s="51">
        <f>المنتجات!B26</f>
        <v/>
      </c>
      <c r="B38" s="51">
        <f>المنتجات!A26</f>
        <v/>
      </c>
      <c r="C38" s="57">
        <f>المنتجات!C26</f>
        <v/>
      </c>
      <c r="D38" s="57">
        <f>المنتجات!D26</f>
        <v/>
      </c>
      <c r="E38" s="58" t="n"/>
      <c r="F38" s="18">
        <f>IF(E38="",0,E38)*C38</f>
        <v/>
      </c>
      <c r="G38" s="18">
        <f>IF(E38="",0,E38)*D38</f>
        <v/>
      </c>
      <c r="H38" s="18">
        <f>F38-G38</f>
        <v/>
      </c>
      <c r="I38" s="19">
        <f>IF($B$4=0,0,IF($B$4&lt;=الإعدادات!$C$12,المنتجات!H26,IF($B$4&lt;=الإعدادات!$C$13,المنتجات!L26,المنتجات!P26)))</f>
        <v/>
      </c>
      <c r="J38" s="18">
        <f>F38*I38</f>
        <v/>
      </c>
      <c r="K38" s="18">
        <f>F38-G38-J38</f>
        <v/>
      </c>
      <c r="L38" s="19">
        <f>IF(H38=0,0,K38/H38)</f>
        <v/>
      </c>
    </row>
    <row r="39" ht="20" customHeight="1">
      <c r="A39" s="51">
        <f>المنتجات!B27</f>
        <v/>
      </c>
      <c r="B39" s="51">
        <f>المنتجات!A27</f>
        <v/>
      </c>
      <c r="C39" s="57">
        <f>المنتجات!C27</f>
        <v/>
      </c>
      <c r="D39" s="57">
        <f>المنتجات!D27</f>
        <v/>
      </c>
      <c r="E39" s="58" t="n"/>
      <c r="F39" s="18">
        <f>IF(E39="",0,E39)*C39</f>
        <v/>
      </c>
      <c r="G39" s="18">
        <f>IF(E39="",0,E39)*D39</f>
        <v/>
      </c>
      <c r="H39" s="18">
        <f>F39-G39</f>
        <v/>
      </c>
      <c r="I39" s="19">
        <f>IF($B$4=0,0,IF($B$4&lt;=الإعدادات!$C$12,المنتجات!H27,IF($B$4&lt;=الإعدادات!$C$13,المنتجات!L27,المنتجات!P27)))</f>
        <v/>
      </c>
      <c r="J39" s="18">
        <f>F39*I39</f>
        <v/>
      </c>
      <c r="K39" s="18">
        <f>F39-G39-J39</f>
        <v/>
      </c>
      <c r="L39" s="19">
        <f>IF(H39=0,0,K39/H39)</f>
        <v/>
      </c>
    </row>
    <row r="41">
      <c r="A41" s="6" t="inlineStr">
        <is>
          <t>مثال جاهز بالدوال: 10 وحدات من كل منتج</t>
        </is>
      </c>
      <c r="B41" s="15" t="n"/>
      <c r="C41" s="16" t="n"/>
    </row>
    <row r="42">
      <c r="A42" s="8" t="inlineStr">
        <is>
          <t>مبيعات المثال</t>
        </is>
      </c>
      <c r="B42" s="59">
        <f>10*SUM(المنتجات!C4:C27)</f>
        <v/>
      </c>
    </row>
    <row r="43">
      <c r="A43" s="8" t="inlineStr">
        <is>
          <t>تكلفة المثال</t>
        </is>
      </c>
      <c r="B43" s="59">
        <f>10*SUM(المنتجات!D4:D27)</f>
        <v/>
      </c>
    </row>
    <row r="44">
      <c r="A44" s="8" t="inlineStr">
        <is>
          <t>ربح المثال</t>
        </is>
      </c>
      <c r="B44" s="59">
        <f>B42-B43</f>
        <v/>
      </c>
    </row>
    <row r="45">
      <c r="A45" s="8" t="inlineStr">
        <is>
          <t>الشريحة</t>
        </is>
      </c>
      <c r="B45" s="25">
        <f>IF(B42&lt;=الإعدادات!C12,"الأساسية",IF(B42&lt;=الإعدادات!C13,"المتوسطة","العليا"))</f>
        <v/>
      </c>
    </row>
    <row r="46">
      <c r="A46" s="8" t="inlineStr">
        <is>
          <t>عمولة الشركة</t>
        </is>
      </c>
      <c r="B46" s="59">
        <f>IF(B45="الأساسية",SUMPRODUCT(المنتجات!C4:C27,المنتجات!H4:H27),IF(B45="المتوسطة",SUMPRODUCT(المنتجات!C4:C27,المنتجات!L4:L27),SUMPRODUCT(المنتجات!C4:C27,المنتجات!P4:P27)))*10</f>
        <v/>
      </c>
    </row>
    <row r="47">
      <c r="A47" s="8" t="inlineStr">
        <is>
          <t>صافي المالك</t>
        </is>
      </c>
      <c r="B47" s="59">
        <f>B42-B43-B46</f>
        <v/>
      </c>
    </row>
    <row r="48">
      <c r="A48" s="8" t="inlineStr">
        <is>
          <t>حصته من الربح</t>
        </is>
      </c>
      <c r="B48" s="60">
        <f>IF(B44=0,0,B47/B44)</f>
        <v/>
      </c>
    </row>
    <row r="49">
      <c r="A49" s="8" t="inlineStr">
        <is>
          <t>الشرط</t>
        </is>
      </c>
      <c r="B49" s="25">
        <f>IF(B48+0.0000001&gt;=IF(B45="الأساسية",الإعدادات!B6,IF(B45="المتوسطة",الإعدادات!B7,الإعدادات!B8)),"يتحقق","أقل من الشرط")</f>
        <v/>
      </c>
    </row>
  </sheetData>
  <autoFilter ref="A15:L39"/>
  <mergeCells count="13">
    <mergeCell ref="B6:C6"/>
    <mergeCell ref="A2:L2"/>
    <mergeCell ref="A41:C41"/>
    <mergeCell ref="B7:C7"/>
    <mergeCell ref="B11:C11"/>
    <mergeCell ref="B5:C5"/>
    <mergeCell ref="A1:L1"/>
    <mergeCell ref="B10:C10"/>
    <mergeCell ref="A14:L14"/>
    <mergeCell ref="B9:C9"/>
    <mergeCell ref="B8:C8"/>
    <mergeCell ref="B4:C4"/>
    <mergeCell ref="B12:C12"/>
  </mergeCells>
  <dataValidations count="1">
    <dataValidation sqref="E16:E39" showDropDown="0" showInputMessage="0" showErrorMessage="0" allowBlank="1" errorTitle="الكمية" error="أدخل كمية صفراً أو أكبر" type="decimal" operator="greaterThanOrEqual">
      <formula1>0</formula1>
    </dataValidation>
  </dataValidations>
  <pageMargins left="0.5" right="0.5" top="0.6" bottom="0.6" header="0.3" footer="0.3"/>
  <pageSetup orientation="landscape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soap sales plan</dc:creator>
  <dc:title>خطة مبيعات الصابون - ثلاث شرائح</dc:title>
  <dc:subject>عمولة الشركة الشريكة مع الإبقاء على ثلث الربح في الشريحة العليا</dc:subject>
  <dcterms:created xsi:type="dcterms:W3CDTF">2026-10-12T14:18:41Z</dcterms:created>
  <dcterms:modified xsi:type="dcterms:W3CDTF">2026-10-12T14:18:42Z</dcterms:modified>
</cp:coreProperties>
</file>