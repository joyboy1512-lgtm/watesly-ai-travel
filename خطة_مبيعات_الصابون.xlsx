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العرض" sheetId="1" state="visible" r:id="rId1"/>
    <sheet name="الأصناف" sheetId="2" state="visible" r:id="rId2"/>
    <sheet name="الحاسبة" sheetId="3" state="visible" r:id="rId3"/>
  </sheets>
  <definedNames>
    <definedName name="_xlnm._FilterDatabase" localSheetId="1" hidden="1">'الأصناف'!$A$3:$F$27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000000"/>
      <sz val="12"/>
    </font>
    <font>
      <name val="Calibri"/>
      <color rgb="00000000"/>
      <sz val="11"/>
    </font>
    <font>
      <name val="Calibri"/>
      <b val="1"/>
      <color rgb="00FFFFFF"/>
      <sz val="16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8E1"/>
      </patternFill>
    </fill>
    <fill>
      <patternFill patternType="solid">
        <fgColor rgb="000D7377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6F4F1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7F60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0" fontId="5" fillId="6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right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5" fillId="8" borderId="1" applyAlignment="1" pivotButton="0" quotePrefix="0" xfId="0">
      <alignment horizontal="right" vertical="center" wrapText="1"/>
    </xf>
    <xf numFmtId="3" fontId="5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right" vertical="center" wrapText="1"/>
    </xf>
    <xf numFmtId="4" fontId="5" fillId="5" borderId="1" applyAlignment="1" pivotButton="0" quotePrefix="0" xfId="0">
      <alignment horizontal="center" vertical="center" wrapText="1"/>
    </xf>
    <xf numFmtId="4" fontId="2" fillId="5" borderId="1" applyAlignment="1" pivotButton="0" quotePrefix="0" xfId="0">
      <alignment horizontal="center" vertical="center" wrapText="1"/>
    </xf>
    <xf numFmtId="4" fontId="2" fillId="7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3" fontId="2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0" fontId="5" fillId="11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center" vertical="center" wrapText="1"/>
    </xf>
    <xf numFmtId="4" fontId="4" fillId="2" borderId="1" applyAlignment="1" pivotButton="0" quotePrefix="0" xfId="0">
      <alignment horizontal="center" vertical="center" wrapText="1"/>
    </xf>
    <xf numFmtId="10" fontId="4" fillId="2" borderId="1" applyAlignment="1" pivotButton="0" quotePrefix="0" xfId="0">
      <alignment horizontal="center" vertical="center" wrapText="1"/>
    </xf>
    <xf numFmtId="4" fontId="2" fillId="8" borderId="1" applyAlignment="1" pivotButton="0" quotePrefix="0" xfId="0">
      <alignment horizontal="center" vertical="center" wrapText="1"/>
    </xf>
    <xf numFmtId="3" fontId="2" fillId="6" borderId="1" applyAlignment="1" pivotButton="0" quotePrefix="0" xfId="0">
      <alignment horizontal="center" vertical="center" wrapText="1"/>
    </xf>
    <xf numFmtId="10" fontId="2" fillId="5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3" fontId="2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4" fontId="2" fillId="11" borderId="1" applyAlignment="1" pivotButton="0" quotePrefix="0" xfId="0">
      <alignment horizontal="center" vertical="center" wrapText="1"/>
    </xf>
    <xf numFmtId="4" fontId="5" fillId="11" borderId="1" applyAlignment="1" pivotButton="0" quotePrefix="0" xfId="0">
      <alignment horizontal="center" vertical="center" wrapText="1"/>
    </xf>
    <xf numFmtId="10" fontId="2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377"/>
    <outlinePr summaryBelow="1" summaryRight="1"/>
    <pageSetUpPr fitToPage="0"/>
  </sheetPr>
  <dimension ref="A1:F25"/>
  <sheetViews>
    <sheetView showGridLines="0" rightToLeft="1" view="normal" zoomScale="100" zoomScaleNormal="100"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24" customWidth="1" min="4" max="4"/>
    <col width="22" customWidth="1" min="5" max="5"/>
    <col width="22" customWidth="1" min="6" max="6"/>
  </cols>
  <sheetData>
    <row r="1" ht="32" customHeight="1">
      <c r="A1" s="1" t="inlineStr">
        <is>
          <t>عرض التعاون — عمولة الموزع من سعر البيع</t>
        </is>
      </c>
    </row>
    <row r="2" ht="36" customHeight="1">
      <c r="A2" s="2" t="inlineStr">
        <is>
          <t>العمولة نسبة من سعر البيع. الشريحة تُحدد بعدد القطع المباعة داخل التصنيف خلال الشهر. مبيعات صابون القالب لا تُجمع مع المقشر أو الصابون السائل أو جل الاستحمام.</t>
        </is>
      </c>
    </row>
    <row r="4">
      <c r="A4" s="3" t="inlineStr">
        <is>
          <t>نسب العمولة من سعر البيع</t>
        </is>
      </c>
    </row>
    <row r="5">
      <c r="A5" s="4" t="inlineStr">
        <is>
          <t>الشريحة</t>
        </is>
      </c>
      <c r="B5" s="4" t="inlineStr">
        <is>
          <t>النسبة من سعر البيع</t>
        </is>
      </c>
      <c r="C5" s="4" t="inlineStr">
        <is>
          <t>متى تُطبق داخل التصنيف</t>
        </is>
      </c>
    </row>
    <row r="6">
      <c r="A6" s="5" t="inlineStr">
        <is>
          <t>الأولى</t>
        </is>
      </c>
      <c r="B6" s="6">
        <f>17/105</f>
        <v/>
      </c>
      <c r="C6" s="7" t="inlineStr">
        <is>
          <t>إذا كانت كمية التصنيف ضمن حد الشريحة الأولى</t>
        </is>
      </c>
    </row>
    <row r="7">
      <c r="A7" s="8" t="inlineStr">
        <is>
          <t>الثانية</t>
        </is>
      </c>
      <c r="B7" s="6">
        <f>17/70</f>
        <v/>
      </c>
      <c r="C7" s="9" t="inlineStr">
        <is>
          <t>إذا تجاوزت الكمية حد الأولى ولم تتجاوز حد الثانية</t>
        </is>
      </c>
    </row>
    <row r="8">
      <c r="A8" s="10" t="inlineStr">
        <is>
          <t>الثالثة</t>
        </is>
      </c>
      <c r="B8" s="6">
        <f>34/105</f>
        <v/>
      </c>
      <c r="C8" s="11" t="inlineStr">
        <is>
          <t>إذا تجاوزت كمية التصنيف حد الشريحة الثانية. هذه أعلى نسبة.</t>
        </is>
      </c>
    </row>
    <row r="10">
      <c r="A10" s="3" t="inlineStr">
        <is>
          <t>حدود الكمية حسب التصنيف</t>
        </is>
      </c>
    </row>
    <row r="11">
      <c r="A11" s="4" t="inlineStr">
        <is>
          <t>التصنيف</t>
        </is>
      </c>
      <c r="B11" s="4" t="inlineStr">
        <is>
          <t>الشريحة الأولى حتى</t>
        </is>
      </c>
      <c r="C11" s="4" t="inlineStr">
        <is>
          <t>الشريحة الثانية حتى</t>
        </is>
      </c>
      <c r="D11" s="4" t="inlineStr">
        <is>
          <t>الشريحة الثالثة</t>
        </is>
      </c>
    </row>
    <row r="12">
      <c r="A12" s="12" t="inlineStr">
        <is>
          <t>صابون قالب</t>
        </is>
      </c>
      <c r="B12" s="13" t="n">
        <v>48</v>
      </c>
      <c r="C12" s="13" t="n">
        <v>120</v>
      </c>
      <c r="D12" s="14">
        <f>"أكثر من "&amp;TEXT(C12,"#,##0")</f>
        <v/>
      </c>
    </row>
    <row r="13">
      <c r="A13" s="12" t="inlineStr">
        <is>
          <t>مقشر جسم</t>
        </is>
      </c>
      <c r="B13" s="13" t="n">
        <v>24</v>
      </c>
      <c r="C13" s="13" t="n">
        <v>72</v>
      </c>
      <c r="D13" s="14">
        <f>"أكثر من "&amp;TEXT(C13,"#,##0")</f>
        <v/>
      </c>
    </row>
    <row r="14">
      <c r="A14" s="12" t="inlineStr">
        <is>
          <t>صابون سائل</t>
        </is>
      </c>
      <c r="B14" s="13" t="n">
        <v>36</v>
      </c>
      <c r="C14" s="13" t="n">
        <v>96</v>
      </c>
      <c r="D14" s="14">
        <f>"أكثر من "&amp;TEXT(C14,"#,##0")</f>
        <v/>
      </c>
    </row>
    <row r="15">
      <c r="A15" s="12" t="inlineStr">
        <is>
          <t>جل استحمام</t>
        </is>
      </c>
      <c r="B15" s="13" t="n">
        <v>36</v>
      </c>
      <c r="C15" s="13" t="n">
        <v>96</v>
      </c>
      <c r="D15" s="14">
        <f>"أكثر من "&amp;TEXT(C15,"#,##0")</f>
        <v/>
      </c>
    </row>
    <row r="16" ht="32" customHeight="1">
      <c r="A16" s="15" t="inlineStr">
        <is>
          <t>مثال: 160 قطعة صابون قالب مع 30 قطعة مقشر تعني شريحة ثالثة للقالب وشريحة ثانية للمقشر. لا تُحسب شريحة واحدة على إجمالي المبيعات.</t>
        </is>
      </c>
    </row>
    <row r="18">
      <c r="A18" s="16" t="inlineStr">
        <is>
          <t>عمولة القطعة = سعر البيع × نسبة الشريحة</t>
        </is>
      </c>
    </row>
    <row r="19">
      <c r="A19" s="4" t="inlineStr">
        <is>
          <t>التصنيف</t>
        </is>
      </c>
      <c r="B19" s="4" t="inlineStr">
        <is>
          <t>المنتج</t>
        </is>
      </c>
      <c r="C19" s="4" t="inlineStr">
        <is>
          <t>سعر البيع</t>
        </is>
      </c>
      <c r="D19" s="17" t="inlineStr">
        <is>
          <t>عمولة الأولى</t>
        </is>
      </c>
      <c r="E19" s="18" t="inlineStr">
        <is>
          <t>عمولة الثانية</t>
        </is>
      </c>
      <c r="F19" s="19" t="inlineStr">
        <is>
          <t>عمولة الثالثة</t>
        </is>
      </c>
    </row>
    <row r="20">
      <c r="A20" s="20" t="inlineStr">
        <is>
          <t>صابون قالب</t>
        </is>
      </c>
      <c r="B20" s="7">
        <f>VLOOKUP("Bar Soap - Black Soap 95GM",الأصناف!B4:C27,1,FALSE)</f>
        <v/>
      </c>
      <c r="C20" s="21">
        <f>VLOOKUP("Bar Soap - Black Soap 95GM",الأصناف!B4:C27,2,FALSE)</f>
        <v/>
      </c>
      <c r="D20" s="22">
        <f>$C20*العرض!$B$6</f>
        <v/>
      </c>
      <c r="E20" s="23">
        <f>$C20*العرض!$B$7</f>
        <v/>
      </c>
      <c r="F20" s="24">
        <f>$C20*العرض!$B$8</f>
        <v/>
      </c>
    </row>
    <row r="21">
      <c r="A21" s="20" t="inlineStr">
        <is>
          <t>مقشر جسم</t>
        </is>
      </c>
      <c r="B21" s="7">
        <f>VLOOKUP("Body Scrub - Coffee 300ml",الأصناف!B4:C27,1,FALSE)</f>
        <v/>
      </c>
      <c r="C21" s="21">
        <f>VLOOKUP("Body Scrub - Coffee 300ml",الأصناف!B4:C27,2,FALSE)</f>
        <v/>
      </c>
      <c r="D21" s="22">
        <f>$C21*العرض!$B$6</f>
        <v/>
      </c>
      <c r="E21" s="23">
        <f>$C21*العرض!$B$7</f>
        <v/>
      </c>
      <c r="F21" s="24">
        <f>$C21*العرض!$B$8</f>
        <v/>
      </c>
    </row>
    <row r="22">
      <c r="A22" s="20" t="inlineStr">
        <is>
          <t>صابون سائل</t>
        </is>
      </c>
      <c r="B22" s="7">
        <f>VLOOKUP("Liquid Soap - Dovey 300ml",الأصناف!B4:C27,1,FALSE)</f>
        <v/>
      </c>
      <c r="C22" s="21">
        <f>VLOOKUP("Liquid Soap - Dovey 300ml",الأصناف!B4:C27,2,FALSE)</f>
        <v/>
      </c>
      <c r="D22" s="22">
        <f>$C22*العرض!$B$6</f>
        <v/>
      </c>
      <c r="E22" s="23">
        <f>$C22*العرض!$B$7</f>
        <v/>
      </c>
      <c r="F22" s="24">
        <f>$C22*العرض!$B$8</f>
        <v/>
      </c>
    </row>
    <row r="23">
      <c r="A23" s="20" t="inlineStr">
        <is>
          <t>جل استحمام</t>
        </is>
      </c>
      <c r="B23" s="7">
        <f>VLOOKUP("Shower Gel - Dovey 400ml",الأصناف!B4:C27,1,FALSE)</f>
        <v/>
      </c>
      <c r="C23" s="21">
        <f>VLOOKUP("Shower Gel - Dovey 400ml",الأصناف!B4:C27,2,FALSE)</f>
        <v/>
      </c>
      <c r="D23" s="22">
        <f>$C23*العرض!$B$6</f>
        <v/>
      </c>
      <c r="E23" s="23">
        <f>$C23*العرض!$B$7</f>
        <v/>
      </c>
      <c r="F23" s="24">
        <f>$C23*العرض!$B$8</f>
        <v/>
      </c>
    </row>
    <row r="25" ht="32" customHeight="1">
      <c r="A25" s="15" t="inlineStr">
        <is>
          <t>تفاصيل كل الأصناف في ورقة الأصناف. لتجربة كميات شهرية استخدم ورقة الحاسبة. الخلايا الصفراء هي حدود الاتفاق ويمكن تعديلها قبل إرسال الملف.</t>
        </is>
      </c>
    </row>
  </sheetData>
  <mergeCells count="7">
    <mergeCell ref="A2:F2"/>
    <mergeCell ref="A1:F1"/>
    <mergeCell ref="A18:F18"/>
    <mergeCell ref="A4:F4"/>
    <mergeCell ref="A16:D16"/>
    <mergeCell ref="A10:D10"/>
    <mergeCell ref="A25:F25"/>
  </mergeCells>
  <pageMargins left="0.5" right="0.5" top="0.6" bottom="0.6" header="0.3" footer="0.3"/>
  <pageSetup orientation="landscape" paperSize="9" scale="8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0"/>
  </sheetPr>
  <dimension ref="A1:F27"/>
  <sheetViews>
    <sheetView showGridLines="1" rightToLeft="1" view="normal" zoomScale="100" zoomScaleNormal="10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16" customWidth="1" min="1" max="1"/>
    <col width="42" customWidth="1" min="2" max="2"/>
    <col width="14" customWidth="1" min="3" max="3"/>
    <col width="18" customWidth="1" min="4" max="4"/>
    <col width="18" customWidth="1" min="5" max="5"/>
    <col width="18" customWidth="1" min="6" max="6"/>
  </cols>
  <sheetData>
    <row r="1" ht="28" customHeight="1">
      <c r="A1" s="25" t="inlineStr">
        <is>
          <t>أسعار البيع وعمولة القطعة في كل شريحة</t>
        </is>
      </c>
    </row>
    <row r="2" ht="24" customHeight="1">
      <c r="A2" s="2" t="inlineStr">
        <is>
          <t>عمولة القطعة = سعر البيع × النسبة. النسب في ورقة العرض، وهي من سعر البيع.</t>
        </is>
      </c>
    </row>
    <row r="3" ht="30" customHeight="1">
      <c r="A3" s="4" t="inlineStr">
        <is>
          <t>التصنيف</t>
        </is>
      </c>
      <c r="B3" s="4" t="inlineStr">
        <is>
          <t>المنتج</t>
        </is>
      </c>
      <c r="C3" s="4" t="inlineStr">
        <is>
          <t>سعر البيع</t>
        </is>
      </c>
      <c r="D3" s="17" t="inlineStr">
        <is>
          <t>عمولة الأولى</t>
        </is>
      </c>
      <c r="E3" s="18" t="inlineStr">
        <is>
          <t>عمولة الثانية</t>
        </is>
      </c>
      <c r="F3" s="19" t="inlineStr">
        <is>
          <t>عمولة الثالثة</t>
        </is>
      </c>
    </row>
    <row r="4" ht="20" customHeight="1">
      <c r="A4" s="26" t="inlineStr">
        <is>
          <t>صابون قالب</t>
        </is>
      </c>
      <c r="B4" s="26" t="inlineStr">
        <is>
          <t>Bar Soap - Black Soap 95GM</t>
        </is>
      </c>
      <c r="C4" s="27" t="n">
        <v>3</v>
      </c>
      <c r="D4" s="22">
        <f>C4*العرض!$B$6</f>
        <v/>
      </c>
      <c r="E4" s="23">
        <f>C4*العرض!$B$7</f>
        <v/>
      </c>
      <c r="F4" s="28">
        <f>C4*العرض!$B$8</f>
        <v/>
      </c>
    </row>
    <row r="5" ht="20" customHeight="1">
      <c r="A5" s="26" t="inlineStr">
        <is>
          <t>صابون قالب</t>
        </is>
      </c>
      <c r="B5" s="26" t="inlineStr">
        <is>
          <t>Bar Soap - Coffee Soap 95GM</t>
        </is>
      </c>
      <c r="C5" s="27" t="n">
        <v>3</v>
      </c>
      <c r="D5" s="22">
        <f>C5*العرض!$B$6</f>
        <v/>
      </c>
      <c r="E5" s="23">
        <f>C5*العرض!$B$7</f>
        <v/>
      </c>
      <c r="F5" s="28">
        <f>C5*العرض!$B$8</f>
        <v/>
      </c>
    </row>
    <row r="6" ht="20" customHeight="1">
      <c r="A6" s="26" t="inlineStr">
        <is>
          <t>صابون قالب</t>
        </is>
      </c>
      <c r="B6" s="26" t="inlineStr">
        <is>
          <t>Bar Soap - Curcum Soap 95GM</t>
        </is>
      </c>
      <c r="C6" s="27" t="n">
        <v>3.25</v>
      </c>
      <c r="D6" s="22">
        <f>C6*العرض!$B$6</f>
        <v/>
      </c>
      <c r="E6" s="23">
        <f>C6*العرض!$B$7</f>
        <v/>
      </c>
      <c r="F6" s="28">
        <f>C6*العرض!$B$8</f>
        <v/>
      </c>
    </row>
    <row r="7" ht="20" customHeight="1">
      <c r="A7" s="26" t="inlineStr">
        <is>
          <t>صابون قالب</t>
        </is>
      </c>
      <c r="B7" s="26" t="inlineStr">
        <is>
          <t>Bar Soap - Ghar Soap 95GM</t>
        </is>
      </c>
      <c r="C7" s="27" t="n">
        <v>3.5</v>
      </c>
      <c r="D7" s="22">
        <f>C7*العرض!$B$6</f>
        <v/>
      </c>
      <c r="E7" s="23">
        <f>C7*العرض!$B$7</f>
        <v/>
      </c>
      <c r="F7" s="28">
        <f>C7*العرض!$B$8</f>
        <v/>
      </c>
    </row>
    <row r="8" ht="20" customHeight="1">
      <c r="A8" s="26" t="inlineStr">
        <is>
          <t>صابون قالب</t>
        </is>
      </c>
      <c r="B8" s="26" t="inlineStr">
        <is>
          <t>Bar Soap - Lavender Soap 95GM</t>
        </is>
      </c>
      <c r="C8" s="27" t="n">
        <v>3.5</v>
      </c>
      <c r="D8" s="22">
        <f>C8*العرض!$B$6</f>
        <v/>
      </c>
      <c r="E8" s="23">
        <f>C8*العرض!$B$7</f>
        <v/>
      </c>
      <c r="F8" s="28">
        <f>C8*العرض!$B$8</f>
        <v/>
      </c>
    </row>
    <row r="9" ht="20" customHeight="1">
      <c r="A9" s="26" t="inlineStr">
        <is>
          <t>صابون قالب</t>
        </is>
      </c>
      <c r="B9" s="26" t="inlineStr">
        <is>
          <t>Bar Soap - Malva 95GM</t>
        </is>
      </c>
      <c r="C9" s="27" t="n">
        <v>3.25</v>
      </c>
      <c r="D9" s="22">
        <f>C9*العرض!$B$6</f>
        <v/>
      </c>
      <c r="E9" s="23">
        <f>C9*العرض!$B$7</f>
        <v/>
      </c>
      <c r="F9" s="28">
        <f>C9*العرض!$B$8</f>
        <v/>
      </c>
    </row>
    <row r="10" ht="20" customHeight="1">
      <c r="A10" s="26" t="inlineStr">
        <is>
          <t>صابون قالب</t>
        </is>
      </c>
      <c r="B10" s="26" t="inlineStr">
        <is>
          <t>Bar Soap - Pitch White Soap 95GM</t>
        </is>
      </c>
      <c r="C10" s="27" t="n">
        <v>4.5</v>
      </c>
      <c r="D10" s="22">
        <f>C10*العرض!$B$6</f>
        <v/>
      </c>
      <c r="E10" s="23">
        <f>C10*العرض!$B$7</f>
        <v/>
      </c>
      <c r="F10" s="28">
        <f>C10*العرض!$B$8</f>
        <v/>
      </c>
    </row>
    <row r="11" ht="20" customHeight="1">
      <c r="A11" s="26" t="inlineStr">
        <is>
          <t>صابون قالب</t>
        </is>
      </c>
      <c r="B11" s="26" t="inlineStr">
        <is>
          <t>Bar Soap - The Miracle 95gm</t>
        </is>
      </c>
      <c r="C11" s="27" t="n">
        <v>4.5</v>
      </c>
      <c r="D11" s="22">
        <f>C11*العرض!$B$6</f>
        <v/>
      </c>
      <c r="E11" s="23">
        <f>C11*العرض!$B$7</f>
        <v/>
      </c>
      <c r="F11" s="28">
        <f>C11*العرض!$B$8</f>
        <v/>
      </c>
    </row>
    <row r="12" ht="20" customHeight="1">
      <c r="A12" s="26" t="inlineStr">
        <is>
          <t>مقشر جسم</t>
        </is>
      </c>
      <c r="B12" s="26" t="inlineStr">
        <is>
          <t>Body Scrub - Coffee 300ml</t>
        </is>
      </c>
      <c r="C12" s="27" t="n">
        <v>8</v>
      </c>
      <c r="D12" s="22">
        <f>C12*العرض!$B$6</f>
        <v/>
      </c>
      <c r="E12" s="23">
        <f>C12*العرض!$B$7</f>
        <v/>
      </c>
      <c r="F12" s="28">
        <f>C12*العرض!$B$8</f>
        <v/>
      </c>
    </row>
    <row r="13" ht="20" customHeight="1">
      <c r="A13" s="26" t="inlineStr">
        <is>
          <t>مقشر جسم</t>
        </is>
      </c>
      <c r="B13" s="26" t="inlineStr">
        <is>
          <t>Body Scrub - Dovey 300ml</t>
        </is>
      </c>
      <c r="C13" s="27" t="n">
        <v>8</v>
      </c>
      <c r="D13" s="22">
        <f>C13*العرض!$B$6</f>
        <v/>
      </c>
      <c r="E13" s="23">
        <f>C13*العرض!$B$7</f>
        <v/>
      </c>
      <c r="F13" s="28">
        <f>C13*العرض!$B$8</f>
        <v/>
      </c>
    </row>
    <row r="14" ht="20" customHeight="1">
      <c r="A14" s="26" t="inlineStr">
        <is>
          <t>مقشر جسم</t>
        </is>
      </c>
      <c r="B14" s="26" t="inlineStr">
        <is>
          <t>Body Scrub - Liligum 300ml</t>
        </is>
      </c>
      <c r="C14" s="27" t="n">
        <v>8</v>
      </c>
      <c r="D14" s="22">
        <f>C14*العرض!$B$6</f>
        <v/>
      </c>
      <c r="E14" s="23">
        <f>C14*العرض!$B$7</f>
        <v/>
      </c>
      <c r="F14" s="28">
        <f>C14*العرض!$B$8</f>
        <v/>
      </c>
    </row>
    <row r="15" ht="20" customHeight="1">
      <c r="A15" s="26" t="inlineStr">
        <is>
          <t>مقشر جسم</t>
        </is>
      </c>
      <c r="B15" s="26" t="inlineStr">
        <is>
          <t>Body Scrub - Misk 300ml</t>
        </is>
      </c>
      <c r="C15" s="27" t="n">
        <v>8</v>
      </c>
      <c r="D15" s="22">
        <f>C15*العرض!$B$6</f>
        <v/>
      </c>
      <c r="E15" s="23">
        <f>C15*العرض!$B$7</f>
        <v/>
      </c>
      <c r="F15" s="28">
        <f>C15*العرض!$B$8</f>
        <v/>
      </c>
    </row>
    <row r="16" ht="20" customHeight="1">
      <c r="A16" s="26" t="inlineStr">
        <is>
          <t>مقشر جسم</t>
        </is>
      </c>
      <c r="B16" s="26" t="inlineStr">
        <is>
          <t>Body Scrub - Oak 300ml</t>
        </is>
      </c>
      <c r="C16" s="27" t="n">
        <v>8</v>
      </c>
      <c r="D16" s="22">
        <f>C16*العرض!$B$6</f>
        <v/>
      </c>
      <c r="E16" s="23">
        <f>C16*العرض!$B$7</f>
        <v/>
      </c>
      <c r="F16" s="28">
        <f>C16*العرض!$B$8</f>
        <v/>
      </c>
    </row>
    <row r="17" ht="20" customHeight="1">
      <c r="A17" s="26" t="inlineStr">
        <is>
          <t>مقشر جسم</t>
        </is>
      </c>
      <c r="B17" s="26" t="inlineStr">
        <is>
          <t>Body Scrub - Oud 300ml</t>
        </is>
      </c>
      <c r="C17" s="27" t="n">
        <v>8</v>
      </c>
      <c r="D17" s="22">
        <f>C17*العرض!$B$6</f>
        <v/>
      </c>
      <c r="E17" s="23">
        <f>C17*العرض!$B$7</f>
        <v/>
      </c>
      <c r="F17" s="28">
        <f>C17*العرض!$B$8</f>
        <v/>
      </c>
    </row>
    <row r="18" ht="20" customHeight="1">
      <c r="A18" s="26" t="inlineStr">
        <is>
          <t>صابون سائل</t>
        </is>
      </c>
      <c r="B18" s="26" t="inlineStr">
        <is>
          <t>Liquid Soap - Dovey 300ml</t>
        </is>
      </c>
      <c r="C18" s="27" t="n">
        <v>3.5</v>
      </c>
      <c r="D18" s="22">
        <f>C18*العرض!$B$6</f>
        <v/>
      </c>
      <c r="E18" s="23">
        <f>C18*العرض!$B$7</f>
        <v/>
      </c>
      <c r="F18" s="28">
        <f>C18*العرض!$B$8</f>
        <v/>
      </c>
    </row>
    <row r="19" ht="20" customHeight="1">
      <c r="A19" s="26" t="inlineStr">
        <is>
          <t>صابون سائل</t>
        </is>
      </c>
      <c r="B19" s="26" t="inlineStr">
        <is>
          <t>Liquid Soap - Lavender 300ml</t>
        </is>
      </c>
      <c r="C19" s="27" t="n">
        <v>3.5</v>
      </c>
      <c r="D19" s="22">
        <f>C19*العرض!$B$6</f>
        <v/>
      </c>
      <c r="E19" s="23">
        <f>C19*العرض!$B$7</f>
        <v/>
      </c>
      <c r="F19" s="28">
        <f>C19*العرض!$B$8</f>
        <v/>
      </c>
    </row>
    <row r="20" ht="20" customHeight="1">
      <c r="A20" s="26" t="inlineStr">
        <is>
          <t>صابون سائل</t>
        </is>
      </c>
      <c r="B20" s="26" t="inlineStr">
        <is>
          <t>Liquid Soap - Misk 300ml</t>
        </is>
      </c>
      <c r="C20" s="27" t="n">
        <v>3.5</v>
      </c>
      <c r="D20" s="22">
        <f>C20*العرض!$B$6</f>
        <v/>
      </c>
      <c r="E20" s="23">
        <f>C20*العرض!$B$7</f>
        <v/>
      </c>
      <c r="F20" s="28">
        <f>C20*العرض!$B$8</f>
        <v/>
      </c>
    </row>
    <row r="21" ht="20" customHeight="1">
      <c r="A21" s="26" t="inlineStr">
        <is>
          <t>صابون سائل</t>
        </is>
      </c>
      <c r="B21" s="26" t="inlineStr">
        <is>
          <t>Liquid Soap - Oud 300ml</t>
        </is>
      </c>
      <c r="C21" s="27" t="n">
        <v>3.5</v>
      </c>
      <c r="D21" s="22">
        <f>C21*العرض!$B$6</f>
        <v/>
      </c>
      <c r="E21" s="23">
        <f>C21*العرض!$B$7</f>
        <v/>
      </c>
      <c r="F21" s="28">
        <f>C21*العرض!$B$8</f>
        <v/>
      </c>
    </row>
    <row r="22" ht="20" customHeight="1">
      <c r="A22" s="26" t="inlineStr">
        <is>
          <t>صابون سائل</t>
        </is>
      </c>
      <c r="B22" s="26" t="inlineStr">
        <is>
          <t>Liquid Soap - oak 300ml</t>
        </is>
      </c>
      <c r="C22" s="27" t="n">
        <v>3.5</v>
      </c>
      <c r="D22" s="22">
        <f>C22*العرض!$B$6</f>
        <v/>
      </c>
      <c r="E22" s="23">
        <f>C22*العرض!$B$7</f>
        <v/>
      </c>
      <c r="F22" s="28">
        <f>C22*العرض!$B$8</f>
        <v/>
      </c>
    </row>
    <row r="23" ht="20" customHeight="1">
      <c r="A23" s="26" t="inlineStr">
        <is>
          <t>جل استحمام</t>
        </is>
      </c>
      <c r="B23" s="26" t="inlineStr">
        <is>
          <t>Shower Gel - Dovey 400ml</t>
        </is>
      </c>
      <c r="C23" s="27" t="n">
        <v>5</v>
      </c>
      <c r="D23" s="22">
        <f>C23*العرض!$B$6</f>
        <v/>
      </c>
      <c r="E23" s="23">
        <f>C23*العرض!$B$7</f>
        <v/>
      </c>
      <c r="F23" s="28">
        <f>C23*العرض!$B$8</f>
        <v/>
      </c>
    </row>
    <row r="24" ht="20" customHeight="1">
      <c r="A24" s="26" t="inlineStr">
        <is>
          <t>جل استحمام</t>
        </is>
      </c>
      <c r="B24" s="26" t="inlineStr">
        <is>
          <t>Shower Gel - Liligum 400ml</t>
        </is>
      </c>
      <c r="C24" s="27" t="n">
        <v>5</v>
      </c>
      <c r="D24" s="22">
        <f>C24*العرض!$B$6</f>
        <v/>
      </c>
      <c r="E24" s="23">
        <f>C24*العرض!$B$7</f>
        <v/>
      </c>
      <c r="F24" s="28">
        <f>C24*العرض!$B$8</f>
        <v/>
      </c>
    </row>
    <row r="25" ht="20" customHeight="1">
      <c r="A25" s="26" t="inlineStr">
        <is>
          <t>جل استحمام</t>
        </is>
      </c>
      <c r="B25" s="26" t="inlineStr">
        <is>
          <t>Shower Gel - Misk 400ml</t>
        </is>
      </c>
      <c r="C25" s="27" t="n">
        <v>5</v>
      </c>
      <c r="D25" s="22">
        <f>C25*العرض!$B$6</f>
        <v/>
      </c>
      <c r="E25" s="23">
        <f>C25*العرض!$B$7</f>
        <v/>
      </c>
      <c r="F25" s="28">
        <f>C25*العرض!$B$8</f>
        <v/>
      </c>
    </row>
    <row r="26" ht="20" customHeight="1">
      <c r="A26" s="26" t="inlineStr">
        <is>
          <t>جل استحمام</t>
        </is>
      </c>
      <c r="B26" s="26" t="inlineStr">
        <is>
          <t>Shower Gel - Oak 400ml</t>
        </is>
      </c>
      <c r="C26" s="27" t="n">
        <v>5</v>
      </c>
      <c r="D26" s="22">
        <f>C26*العرض!$B$6</f>
        <v/>
      </c>
      <c r="E26" s="23">
        <f>C26*العرض!$B$7</f>
        <v/>
      </c>
      <c r="F26" s="28">
        <f>C26*العرض!$B$8</f>
        <v/>
      </c>
    </row>
    <row r="27" ht="20" customHeight="1">
      <c r="A27" s="26" t="inlineStr">
        <is>
          <t>جل استحمام</t>
        </is>
      </c>
      <c r="B27" s="26" t="inlineStr">
        <is>
          <t>Shower Gel - Oud 400ml</t>
        </is>
      </c>
      <c r="C27" s="27" t="n">
        <v>5</v>
      </c>
      <c r="D27" s="22">
        <f>C27*العرض!$B$6</f>
        <v/>
      </c>
      <c r="E27" s="23">
        <f>C27*العرض!$B$7</f>
        <v/>
      </c>
      <c r="F27" s="28">
        <f>C27*العرض!$B$8</f>
        <v/>
      </c>
    </row>
  </sheetData>
  <autoFilter ref="A3:F27"/>
  <mergeCells count="2">
    <mergeCell ref="A2:F2"/>
    <mergeCell ref="A1:F1"/>
  </mergeCells>
  <pageMargins left="0.5" right="0.5" top="0.6" bottom="0.6" header="0.3" footer="0.3"/>
  <pageSetup orientation="landscape" paperSize="9" scale="8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0"/>
  </sheetPr>
  <dimension ref="A1:H46"/>
  <sheetViews>
    <sheetView showGridLines="1" rightToLeft="1" view="normal" zoomScale="100" zoomScaleNormal="100" workbookViewId="0">
      <pane ySplit="11" topLeftCell="A12" activePane="bottomLeft" state="frozen"/>
      <selection pane="bottomLeft" activeCell="A12" sqref="A12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25" t="inlineStr">
        <is>
          <t>حاسبة الكميات — الشريحة حسب التصنيف</t>
        </is>
      </c>
    </row>
    <row r="2" ht="32" customHeight="1">
      <c r="A2" s="2" t="inlineStr">
        <is>
          <t>اكتب الكمية في العمود الأصفر. كمية كل تصنيف تُجمع وحدها، ثم تُختار شريحته ونسبته من سعر البيع.</t>
        </is>
      </c>
    </row>
    <row r="4">
      <c r="A4" s="4" t="inlineStr">
        <is>
          <t>التصنيف</t>
        </is>
      </c>
      <c r="B4" s="4" t="inlineStr">
        <is>
          <t>الكمية</t>
        </is>
      </c>
      <c r="C4" s="4" t="inlineStr">
        <is>
          <t>الشريحة</t>
        </is>
      </c>
      <c r="D4" s="4" t="inlineStr">
        <is>
          <t>المبيعات</t>
        </is>
      </c>
      <c r="E4" s="4" t="inlineStr">
        <is>
          <t>العمولة</t>
        </is>
      </c>
      <c r="F4" s="4" t="inlineStr">
        <is>
          <t>العمولة من سعر البيع</t>
        </is>
      </c>
    </row>
    <row r="5">
      <c r="A5" s="12">
        <f>العرض!A12</f>
        <v/>
      </c>
      <c r="B5" s="29">
        <f>SUMIF($B$12:$B$35,A5,$D$12:$D$35)</f>
        <v/>
      </c>
      <c r="C5" s="30">
        <f>IF(B5=0,"—",IF(B5&lt;=VLOOKUP(A5,العرض!$A$12:$C$15,2,FALSE),"الأولى",IF(B5&lt;=VLOOKUP(A5,العرض!$A$12:$C$15,3,FALSE),"الثانية","الثالثة")))</f>
        <v/>
      </c>
      <c r="D5" s="22">
        <f>SUMIF($B$12:$B$35,A5,$E$12:$E$35)</f>
        <v/>
      </c>
      <c r="E5" s="22">
        <f>SUMIF($B$12:$B$35,A5,$H$12:$H$35)</f>
        <v/>
      </c>
      <c r="F5" s="31">
        <f>IF(D5=0,0,E5/D5)</f>
        <v/>
      </c>
    </row>
    <row r="6">
      <c r="A6" s="12">
        <f>العرض!A13</f>
        <v/>
      </c>
      <c r="B6" s="29">
        <f>SUMIF($B$12:$B$35,A6,$D$12:$D$35)</f>
        <v/>
      </c>
      <c r="C6" s="30">
        <f>IF(B6=0,"—",IF(B6&lt;=VLOOKUP(A6,العرض!$A$12:$C$15,2,FALSE),"الأولى",IF(B6&lt;=VLOOKUP(A6,العرض!$A$12:$C$15,3,FALSE),"الثانية","الثالثة")))</f>
        <v/>
      </c>
      <c r="D6" s="22">
        <f>SUMIF($B$12:$B$35,A6,$E$12:$E$35)</f>
        <v/>
      </c>
      <c r="E6" s="22">
        <f>SUMIF($B$12:$B$35,A6,$H$12:$H$35)</f>
        <v/>
      </c>
      <c r="F6" s="31">
        <f>IF(D6=0,0,E6/D6)</f>
        <v/>
      </c>
    </row>
    <row r="7">
      <c r="A7" s="12">
        <f>العرض!A14</f>
        <v/>
      </c>
      <c r="B7" s="29">
        <f>SUMIF($B$12:$B$35,A7,$D$12:$D$35)</f>
        <v/>
      </c>
      <c r="C7" s="30">
        <f>IF(B7=0,"—",IF(B7&lt;=VLOOKUP(A7,العرض!$A$12:$C$15,2,FALSE),"الأولى",IF(B7&lt;=VLOOKUP(A7,العرض!$A$12:$C$15,3,FALSE),"الثانية","الثالثة")))</f>
        <v/>
      </c>
      <c r="D7" s="22">
        <f>SUMIF($B$12:$B$35,A7,$E$12:$E$35)</f>
        <v/>
      </c>
      <c r="E7" s="22">
        <f>SUMIF($B$12:$B$35,A7,$H$12:$H$35)</f>
        <v/>
      </c>
      <c r="F7" s="31">
        <f>IF(D7=0,0,E7/D7)</f>
        <v/>
      </c>
    </row>
    <row r="8">
      <c r="A8" s="12">
        <f>العرض!A15</f>
        <v/>
      </c>
      <c r="B8" s="29">
        <f>SUMIF($B$12:$B$35,A8,$D$12:$D$35)</f>
        <v/>
      </c>
      <c r="C8" s="30">
        <f>IF(B8=0,"—",IF(B8&lt;=VLOOKUP(A8,العرض!$A$12:$C$15,2,FALSE),"الأولى",IF(B8&lt;=VLOOKUP(A8,العرض!$A$12:$C$15,3,FALSE),"الثانية","الثالثة")))</f>
        <v/>
      </c>
      <c r="D8" s="22">
        <f>SUMIF($B$12:$B$35,A8,$E$12:$E$35)</f>
        <v/>
      </c>
      <c r="E8" s="22">
        <f>SUMIF($B$12:$B$35,A8,$H$12:$H$35)</f>
        <v/>
      </c>
      <c r="F8" s="31">
        <f>IF(D8=0,0,E8/D8)</f>
        <v/>
      </c>
    </row>
    <row r="9">
      <c r="A9" s="4" t="inlineStr">
        <is>
          <t>المجموع</t>
        </is>
      </c>
      <c r="B9" s="32">
        <f>SUM(B5:B8)</f>
        <v/>
      </c>
      <c r="C9" s="4" t="inlineStr">
        <is>
          <t>كل تصنيف على حدة</t>
        </is>
      </c>
      <c r="D9" s="33">
        <f>SUM(D5:D8)</f>
        <v/>
      </c>
      <c r="E9" s="33">
        <f>SUM(E5:E8)</f>
        <v/>
      </c>
      <c r="F9" s="34">
        <f>IF(D9=0,0,E9/D9)</f>
        <v/>
      </c>
    </row>
    <row r="11" ht="30" customHeight="1">
      <c r="A11" s="4" t="inlineStr">
        <is>
          <t>المنتج</t>
        </is>
      </c>
      <c r="B11" s="4" t="inlineStr">
        <is>
          <t>التصنيف</t>
        </is>
      </c>
      <c r="C11" s="4" t="inlineStr">
        <is>
          <t>سعر البيع</t>
        </is>
      </c>
      <c r="D11" s="4" t="inlineStr">
        <is>
          <t>الكمية</t>
        </is>
      </c>
      <c r="E11" s="4" t="inlineStr">
        <is>
          <t>المبيعات</t>
        </is>
      </c>
      <c r="F11" s="4" t="inlineStr">
        <is>
          <t>كمية التصنيف</t>
        </is>
      </c>
      <c r="G11" s="4" t="inlineStr">
        <is>
          <t>نسبة العمولة</t>
        </is>
      </c>
      <c r="H11" s="4" t="inlineStr">
        <is>
          <t>العمولة</t>
        </is>
      </c>
    </row>
    <row r="12" ht="20" customHeight="1">
      <c r="A12" s="26">
        <f>الأصناف!B4</f>
        <v/>
      </c>
      <c r="B12" s="26">
        <f>الأصناف!A4</f>
        <v/>
      </c>
      <c r="C12" s="35">
        <f>الأصناف!C4</f>
        <v/>
      </c>
      <c r="D12" s="36" t="n"/>
      <c r="E12" s="22">
        <f>IF(D12="",0,D12)*C12</f>
        <v/>
      </c>
      <c r="F12" s="29">
        <f>SUMIF($B$12:$B$35,B12,$D$12:$D$35)</f>
        <v/>
      </c>
      <c r="G12" s="37">
        <f>IF(F12=0,0,IF(F12&lt;=VLOOKUP(B12,العرض!$A$12:$C$15,2,FALSE),العرض!$B$6,IF(F12&lt;=VLOOKUP(B12,العرض!$A$12:$C$15,3,FALSE),العرض!$B$7,العرض!$B$8)))</f>
        <v/>
      </c>
      <c r="H12" s="24">
        <f>E12*G12</f>
        <v/>
      </c>
    </row>
    <row r="13" ht="20" customHeight="1">
      <c r="A13" s="26">
        <f>الأصناف!B5</f>
        <v/>
      </c>
      <c r="B13" s="26">
        <f>الأصناف!A5</f>
        <v/>
      </c>
      <c r="C13" s="35">
        <f>الأصناف!C5</f>
        <v/>
      </c>
      <c r="D13" s="36" t="n"/>
      <c r="E13" s="22">
        <f>IF(D13="",0,D13)*C13</f>
        <v/>
      </c>
      <c r="F13" s="29">
        <f>SUMIF($B$12:$B$35,B13,$D$12:$D$35)</f>
        <v/>
      </c>
      <c r="G13" s="37">
        <f>IF(F13=0,0,IF(F13&lt;=VLOOKUP(B13,العرض!$A$12:$C$15,2,FALSE),العرض!$B$6,IF(F13&lt;=VLOOKUP(B13,العرض!$A$12:$C$15,3,FALSE),العرض!$B$7,العرض!$B$8)))</f>
        <v/>
      </c>
      <c r="H13" s="24">
        <f>E13*G13</f>
        <v/>
      </c>
    </row>
    <row r="14" ht="20" customHeight="1">
      <c r="A14" s="26">
        <f>الأصناف!B6</f>
        <v/>
      </c>
      <c r="B14" s="26">
        <f>الأصناف!A6</f>
        <v/>
      </c>
      <c r="C14" s="35">
        <f>الأصناف!C6</f>
        <v/>
      </c>
      <c r="D14" s="36" t="n"/>
      <c r="E14" s="22">
        <f>IF(D14="",0,D14)*C14</f>
        <v/>
      </c>
      <c r="F14" s="29">
        <f>SUMIF($B$12:$B$35,B14,$D$12:$D$35)</f>
        <v/>
      </c>
      <c r="G14" s="37">
        <f>IF(F14=0,0,IF(F14&lt;=VLOOKUP(B14,العرض!$A$12:$C$15,2,FALSE),العرض!$B$6,IF(F14&lt;=VLOOKUP(B14,العرض!$A$12:$C$15,3,FALSE),العرض!$B$7,العرض!$B$8)))</f>
        <v/>
      </c>
      <c r="H14" s="24">
        <f>E14*G14</f>
        <v/>
      </c>
    </row>
    <row r="15" ht="20" customHeight="1">
      <c r="A15" s="26">
        <f>الأصناف!B7</f>
        <v/>
      </c>
      <c r="B15" s="26">
        <f>الأصناف!A7</f>
        <v/>
      </c>
      <c r="C15" s="35">
        <f>الأصناف!C7</f>
        <v/>
      </c>
      <c r="D15" s="36" t="n"/>
      <c r="E15" s="22">
        <f>IF(D15="",0,D15)*C15</f>
        <v/>
      </c>
      <c r="F15" s="29">
        <f>SUMIF($B$12:$B$35,B15,$D$12:$D$35)</f>
        <v/>
      </c>
      <c r="G15" s="37">
        <f>IF(F15=0,0,IF(F15&lt;=VLOOKUP(B15,العرض!$A$12:$C$15,2,FALSE),العرض!$B$6,IF(F15&lt;=VLOOKUP(B15,العرض!$A$12:$C$15,3,FALSE),العرض!$B$7,العرض!$B$8)))</f>
        <v/>
      </c>
      <c r="H15" s="24">
        <f>E15*G15</f>
        <v/>
      </c>
    </row>
    <row r="16" ht="20" customHeight="1">
      <c r="A16" s="26">
        <f>الأصناف!B8</f>
        <v/>
      </c>
      <c r="B16" s="26">
        <f>الأصناف!A8</f>
        <v/>
      </c>
      <c r="C16" s="35">
        <f>الأصناف!C8</f>
        <v/>
      </c>
      <c r="D16" s="36" t="n"/>
      <c r="E16" s="22">
        <f>IF(D16="",0,D16)*C16</f>
        <v/>
      </c>
      <c r="F16" s="29">
        <f>SUMIF($B$12:$B$35,B16,$D$12:$D$35)</f>
        <v/>
      </c>
      <c r="G16" s="37">
        <f>IF(F16=0,0,IF(F16&lt;=VLOOKUP(B16,العرض!$A$12:$C$15,2,FALSE),العرض!$B$6,IF(F16&lt;=VLOOKUP(B16,العرض!$A$12:$C$15,3,FALSE),العرض!$B$7,العرض!$B$8)))</f>
        <v/>
      </c>
      <c r="H16" s="24">
        <f>E16*G16</f>
        <v/>
      </c>
    </row>
    <row r="17" ht="20" customHeight="1">
      <c r="A17" s="26">
        <f>الأصناف!B9</f>
        <v/>
      </c>
      <c r="B17" s="26">
        <f>الأصناف!A9</f>
        <v/>
      </c>
      <c r="C17" s="35">
        <f>الأصناف!C9</f>
        <v/>
      </c>
      <c r="D17" s="36" t="n"/>
      <c r="E17" s="22">
        <f>IF(D17="",0,D17)*C17</f>
        <v/>
      </c>
      <c r="F17" s="29">
        <f>SUMIF($B$12:$B$35,B17,$D$12:$D$35)</f>
        <v/>
      </c>
      <c r="G17" s="37">
        <f>IF(F17=0,0,IF(F17&lt;=VLOOKUP(B17,العرض!$A$12:$C$15,2,FALSE),العرض!$B$6,IF(F17&lt;=VLOOKUP(B17,العرض!$A$12:$C$15,3,FALSE),العرض!$B$7,العرض!$B$8)))</f>
        <v/>
      </c>
      <c r="H17" s="24">
        <f>E17*G17</f>
        <v/>
      </c>
    </row>
    <row r="18" ht="20" customHeight="1">
      <c r="A18" s="26">
        <f>الأصناف!B10</f>
        <v/>
      </c>
      <c r="B18" s="26">
        <f>الأصناف!A10</f>
        <v/>
      </c>
      <c r="C18" s="35">
        <f>الأصناف!C10</f>
        <v/>
      </c>
      <c r="D18" s="36" t="n"/>
      <c r="E18" s="22">
        <f>IF(D18="",0,D18)*C18</f>
        <v/>
      </c>
      <c r="F18" s="29">
        <f>SUMIF($B$12:$B$35,B18,$D$12:$D$35)</f>
        <v/>
      </c>
      <c r="G18" s="37">
        <f>IF(F18=0,0,IF(F18&lt;=VLOOKUP(B18,العرض!$A$12:$C$15,2,FALSE),العرض!$B$6,IF(F18&lt;=VLOOKUP(B18,العرض!$A$12:$C$15,3,FALSE),العرض!$B$7,العرض!$B$8)))</f>
        <v/>
      </c>
      <c r="H18" s="24">
        <f>E18*G18</f>
        <v/>
      </c>
    </row>
    <row r="19" ht="20" customHeight="1">
      <c r="A19" s="26">
        <f>الأصناف!B11</f>
        <v/>
      </c>
      <c r="B19" s="26">
        <f>الأصناف!A11</f>
        <v/>
      </c>
      <c r="C19" s="35">
        <f>الأصناف!C11</f>
        <v/>
      </c>
      <c r="D19" s="36" t="n"/>
      <c r="E19" s="22">
        <f>IF(D19="",0,D19)*C19</f>
        <v/>
      </c>
      <c r="F19" s="29">
        <f>SUMIF($B$12:$B$35,B19,$D$12:$D$35)</f>
        <v/>
      </c>
      <c r="G19" s="37">
        <f>IF(F19=0,0,IF(F19&lt;=VLOOKUP(B19,العرض!$A$12:$C$15,2,FALSE),العرض!$B$6,IF(F19&lt;=VLOOKUP(B19,العرض!$A$12:$C$15,3,FALSE),العرض!$B$7,العرض!$B$8)))</f>
        <v/>
      </c>
      <c r="H19" s="24">
        <f>E19*G19</f>
        <v/>
      </c>
    </row>
    <row r="20" ht="20" customHeight="1">
      <c r="A20" s="26">
        <f>الأصناف!B12</f>
        <v/>
      </c>
      <c r="B20" s="26">
        <f>الأصناف!A12</f>
        <v/>
      </c>
      <c r="C20" s="35">
        <f>الأصناف!C12</f>
        <v/>
      </c>
      <c r="D20" s="36" t="n"/>
      <c r="E20" s="22">
        <f>IF(D20="",0,D20)*C20</f>
        <v/>
      </c>
      <c r="F20" s="29">
        <f>SUMIF($B$12:$B$35,B20,$D$12:$D$35)</f>
        <v/>
      </c>
      <c r="G20" s="37">
        <f>IF(F20=0,0,IF(F20&lt;=VLOOKUP(B20,العرض!$A$12:$C$15,2,FALSE),العرض!$B$6,IF(F20&lt;=VLOOKUP(B20,العرض!$A$12:$C$15,3,FALSE),العرض!$B$7,العرض!$B$8)))</f>
        <v/>
      </c>
      <c r="H20" s="24">
        <f>E20*G20</f>
        <v/>
      </c>
    </row>
    <row r="21" ht="20" customHeight="1">
      <c r="A21" s="26">
        <f>الأصناف!B13</f>
        <v/>
      </c>
      <c r="B21" s="26">
        <f>الأصناف!A13</f>
        <v/>
      </c>
      <c r="C21" s="35">
        <f>الأصناف!C13</f>
        <v/>
      </c>
      <c r="D21" s="36" t="n"/>
      <c r="E21" s="22">
        <f>IF(D21="",0,D21)*C21</f>
        <v/>
      </c>
      <c r="F21" s="29">
        <f>SUMIF($B$12:$B$35,B21,$D$12:$D$35)</f>
        <v/>
      </c>
      <c r="G21" s="37">
        <f>IF(F21=0,0,IF(F21&lt;=VLOOKUP(B21,العرض!$A$12:$C$15,2,FALSE),العرض!$B$6,IF(F21&lt;=VLOOKUP(B21,العرض!$A$12:$C$15,3,FALSE),العرض!$B$7,العرض!$B$8)))</f>
        <v/>
      </c>
      <c r="H21" s="24">
        <f>E21*G21</f>
        <v/>
      </c>
    </row>
    <row r="22" ht="20" customHeight="1">
      <c r="A22" s="26">
        <f>الأصناف!B14</f>
        <v/>
      </c>
      <c r="B22" s="26">
        <f>الأصناف!A14</f>
        <v/>
      </c>
      <c r="C22" s="35">
        <f>الأصناف!C14</f>
        <v/>
      </c>
      <c r="D22" s="36" t="n"/>
      <c r="E22" s="22">
        <f>IF(D22="",0,D22)*C22</f>
        <v/>
      </c>
      <c r="F22" s="29">
        <f>SUMIF($B$12:$B$35,B22,$D$12:$D$35)</f>
        <v/>
      </c>
      <c r="G22" s="37">
        <f>IF(F22=0,0,IF(F22&lt;=VLOOKUP(B22,العرض!$A$12:$C$15,2,FALSE),العرض!$B$6,IF(F22&lt;=VLOOKUP(B22,العرض!$A$12:$C$15,3,FALSE),العرض!$B$7,العرض!$B$8)))</f>
        <v/>
      </c>
      <c r="H22" s="24">
        <f>E22*G22</f>
        <v/>
      </c>
    </row>
    <row r="23" ht="20" customHeight="1">
      <c r="A23" s="26">
        <f>الأصناف!B15</f>
        <v/>
      </c>
      <c r="B23" s="26">
        <f>الأصناف!A15</f>
        <v/>
      </c>
      <c r="C23" s="35">
        <f>الأصناف!C15</f>
        <v/>
      </c>
      <c r="D23" s="36" t="n"/>
      <c r="E23" s="22">
        <f>IF(D23="",0,D23)*C23</f>
        <v/>
      </c>
      <c r="F23" s="29">
        <f>SUMIF($B$12:$B$35,B23,$D$12:$D$35)</f>
        <v/>
      </c>
      <c r="G23" s="37">
        <f>IF(F23=0,0,IF(F23&lt;=VLOOKUP(B23,العرض!$A$12:$C$15,2,FALSE),العرض!$B$6,IF(F23&lt;=VLOOKUP(B23,العرض!$A$12:$C$15,3,FALSE),العرض!$B$7,العرض!$B$8)))</f>
        <v/>
      </c>
      <c r="H23" s="24">
        <f>E23*G23</f>
        <v/>
      </c>
    </row>
    <row r="24" ht="20" customHeight="1">
      <c r="A24" s="26">
        <f>الأصناف!B16</f>
        <v/>
      </c>
      <c r="B24" s="26">
        <f>الأصناف!A16</f>
        <v/>
      </c>
      <c r="C24" s="35">
        <f>الأصناف!C16</f>
        <v/>
      </c>
      <c r="D24" s="36" t="n"/>
      <c r="E24" s="22">
        <f>IF(D24="",0,D24)*C24</f>
        <v/>
      </c>
      <c r="F24" s="29">
        <f>SUMIF($B$12:$B$35,B24,$D$12:$D$35)</f>
        <v/>
      </c>
      <c r="G24" s="37">
        <f>IF(F24=0,0,IF(F24&lt;=VLOOKUP(B24,العرض!$A$12:$C$15,2,FALSE),العرض!$B$6,IF(F24&lt;=VLOOKUP(B24,العرض!$A$12:$C$15,3,FALSE),العرض!$B$7,العرض!$B$8)))</f>
        <v/>
      </c>
      <c r="H24" s="24">
        <f>E24*G24</f>
        <v/>
      </c>
    </row>
    <row r="25" ht="20" customHeight="1">
      <c r="A25" s="26">
        <f>الأصناف!B17</f>
        <v/>
      </c>
      <c r="B25" s="26">
        <f>الأصناف!A17</f>
        <v/>
      </c>
      <c r="C25" s="35">
        <f>الأصناف!C17</f>
        <v/>
      </c>
      <c r="D25" s="36" t="n"/>
      <c r="E25" s="22">
        <f>IF(D25="",0,D25)*C25</f>
        <v/>
      </c>
      <c r="F25" s="29">
        <f>SUMIF($B$12:$B$35,B25,$D$12:$D$35)</f>
        <v/>
      </c>
      <c r="G25" s="37">
        <f>IF(F25=0,0,IF(F25&lt;=VLOOKUP(B25,العرض!$A$12:$C$15,2,FALSE),العرض!$B$6,IF(F25&lt;=VLOOKUP(B25,العرض!$A$12:$C$15,3,FALSE),العرض!$B$7,العرض!$B$8)))</f>
        <v/>
      </c>
      <c r="H25" s="24">
        <f>E25*G25</f>
        <v/>
      </c>
    </row>
    <row r="26" ht="20" customHeight="1">
      <c r="A26" s="26">
        <f>الأصناف!B18</f>
        <v/>
      </c>
      <c r="B26" s="26">
        <f>الأصناف!A18</f>
        <v/>
      </c>
      <c r="C26" s="35">
        <f>الأصناف!C18</f>
        <v/>
      </c>
      <c r="D26" s="36" t="n"/>
      <c r="E26" s="22">
        <f>IF(D26="",0,D26)*C26</f>
        <v/>
      </c>
      <c r="F26" s="29">
        <f>SUMIF($B$12:$B$35,B26,$D$12:$D$35)</f>
        <v/>
      </c>
      <c r="G26" s="37">
        <f>IF(F26=0,0,IF(F26&lt;=VLOOKUP(B26,العرض!$A$12:$C$15,2,FALSE),العرض!$B$6,IF(F26&lt;=VLOOKUP(B26,العرض!$A$12:$C$15,3,FALSE),العرض!$B$7,العرض!$B$8)))</f>
        <v/>
      </c>
      <c r="H26" s="24">
        <f>E26*G26</f>
        <v/>
      </c>
    </row>
    <row r="27" ht="20" customHeight="1">
      <c r="A27" s="26">
        <f>الأصناف!B19</f>
        <v/>
      </c>
      <c r="B27" s="26">
        <f>الأصناف!A19</f>
        <v/>
      </c>
      <c r="C27" s="35">
        <f>الأصناف!C19</f>
        <v/>
      </c>
      <c r="D27" s="36" t="n"/>
      <c r="E27" s="22">
        <f>IF(D27="",0,D27)*C27</f>
        <v/>
      </c>
      <c r="F27" s="29">
        <f>SUMIF($B$12:$B$35,B27,$D$12:$D$35)</f>
        <v/>
      </c>
      <c r="G27" s="37">
        <f>IF(F27=0,0,IF(F27&lt;=VLOOKUP(B27,العرض!$A$12:$C$15,2,FALSE),العرض!$B$6,IF(F27&lt;=VLOOKUP(B27,العرض!$A$12:$C$15,3,FALSE),العرض!$B$7,العرض!$B$8)))</f>
        <v/>
      </c>
      <c r="H27" s="24">
        <f>E27*G27</f>
        <v/>
      </c>
    </row>
    <row r="28" ht="20" customHeight="1">
      <c r="A28" s="26">
        <f>الأصناف!B20</f>
        <v/>
      </c>
      <c r="B28" s="26">
        <f>الأصناف!A20</f>
        <v/>
      </c>
      <c r="C28" s="35">
        <f>الأصناف!C20</f>
        <v/>
      </c>
      <c r="D28" s="36" t="n"/>
      <c r="E28" s="22">
        <f>IF(D28="",0,D28)*C28</f>
        <v/>
      </c>
      <c r="F28" s="29">
        <f>SUMIF($B$12:$B$35,B28,$D$12:$D$35)</f>
        <v/>
      </c>
      <c r="G28" s="37">
        <f>IF(F28=0,0,IF(F28&lt;=VLOOKUP(B28,العرض!$A$12:$C$15,2,FALSE),العرض!$B$6,IF(F28&lt;=VLOOKUP(B28,العرض!$A$12:$C$15,3,FALSE),العرض!$B$7,العرض!$B$8)))</f>
        <v/>
      </c>
      <c r="H28" s="24">
        <f>E28*G28</f>
        <v/>
      </c>
    </row>
    <row r="29" ht="20" customHeight="1">
      <c r="A29" s="26">
        <f>الأصناف!B21</f>
        <v/>
      </c>
      <c r="B29" s="26">
        <f>الأصناف!A21</f>
        <v/>
      </c>
      <c r="C29" s="35">
        <f>الأصناف!C21</f>
        <v/>
      </c>
      <c r="D29" s="36" t="n"/>
      <c r="E29" s="22">
        <f>IF(D29="",0,D29)*C29</f>
        <v/>
      </c>
      <c r="F29" s="29">
        <f>SUMIF($B$12:$B$35,B29,$D$12:$D$35)</f>
        <v/>
      </c>
      <c r="G29" s="37">
        <f>IF(F29=0,0,IF(F29&lt;=VLOOKUP(B29,العرض!$A$12:$C$15,2,FALSE),العرض!$B$6,IF(F29&lt;=VLOOKUP(B29,العرض!$A$12:$C$15,3,FALSE),العرض!$B$7,العرض!$B$8)))</f>
        <v/>
      </c>
      <c r="H29" s="24">
        <f>E29*G29</f>
        <v/>
      </c>
    </row>
    <row r="30" ht="20" customHeight="1">
      <c r="A30" s="26">
        <f>الأصناف!B22</f>
        <v/>
      </c>
      <c r="B30" s="26">
        <f>الأصناف!A22</f>
        <v/>
      </c>
      <c r="C30" s="35">
        <f>الأصناف!C22</f>
        <v/>
      </c>
      <c r="D30" s="36" t="n"/>
      <c r="E30" s="22">
        <f>IF(D30="",0,D30)*C30</f>
        <v/>
      </c>
      <c r="F30" s="29">
        <f>SUMIF($B$12:$B$35,B30,$D$12:$D$35)</f>
        <v/>
      </c>
      <c r="G30" s="37">
        <f>IF(F30=0,0,IF(F30&lt;=VLOOKUP(B30,العرض!$A$12:$C$15,2,FALSE),العرض!$B$6,IF(F30&lt;=VLOOKUP(B30,العرض!$A$12:$C$15,3,FALSE),العرض!$B$7,العرض!$B$8)))</f>
        <v/>
      </c>
      <c r="H30" s="24">
        <f>E30*G30</f>
        <v/>
      </c>
    </row>
    <row r="31" ht="20" customHeight="1">
      <c r="A31" s="26">
        <f>الأصناف!B23</f>
        <v/>
      </c>
      <c r="B31" s="26">
        <f>الأصناف!A23</f>
        <v/>
      </c>
      <c r="C31" s="35">
        <f>الأصناف!C23</f>
        <v/>
      </c>
      <c r="D31" s="36" t="n"/>
      <c r="E31" s="22">
        <f>IF(D31="",0,D31)*C31</f>
        <v/>
      </c>
      <c r="F31" s="29">
        <f>SUMIF($B$12:$B$35,B31,$D$12:$D$35)</f>
        <v/>
      </c>
      <c r="G31" s="37">
        <f>IF(F31=0,0,IF(F31&lt;=VLOOKUP(B31,العرض!$A$12:$C$15,2,FALSE),العرض!$B$6,IF(F31&lt;=VLOOKUP(B31,العرض!$A$12:$C$15,3,FALSE),العرض!$B$7,العرض!$B$8)))</f>
        <v/>
      </c>
      <c r="H31" s="24">
        <f>E31*G31</f>
        <v/>
      </c>
    </row>
    <row r="32" ht="20" customHeight="1">
      <c r="A32" s="26">
        <f>الأصناف!B24</f>
        <v/>
      </c>
      <c r="B32" s="26">
        <f>الأصناف!A24</f>
        <v/>
      </c>
      <c r="C32" s="35">
        <f>الأصناف!C24</f>
        <v/>
      </c>
      <c r="D32" s="36" t="n"/>
      <c r="E32" s="22">
        <f>IF(D32="",0,D32)*C32</f>
        <v/>
      </c>
      <c r="F32" s="29">
        <f>SUMIF($B$12:$B$35,B32,$D$12:$D$35)</f>
        <v/>
      </c>
      <c r="G32" s="37">
        <f>IF(F32=0,0,IF(F32&lt;=VLOOKUP(B32,العرض!$A$12:$C$15,2,FALSE),العرض!$B$6,IF(F32&lt;=VLOOKUP(B32,العرض!$A$12:$C$15,3,FALSE),العرض!$B$7,العرض!$B$8)))</f>
        <v/>
      </c>
      <c r="H32" s="24">
        <f>E32*G32</f>
        <v/>
      </c>
    </row>
    <row r="33" ht="20" customHeight="1">
      <c r="A33" s="26">
        <f>الأصناف!B25</f>
        <v/>
      </c>
      <c r="B33" s="26">
        <f>الأصناف!A25</f>
        <v/>
      </c>
      <c r="C33" s="35">
        <f>الأصناف!C25</f>
        <v/>
      </c>
      <c r="D33" s="36" t="n"/>
      <c r="E33" s="22">
        <f>IF(D33="",0,D33)*C33</f>
        <v/>
      </c>
      <c r="F33" s="29">
        <f>SUMIF($B$12:$B$35,B33,$D$12:$D$35)</f>
        <v/>
      </c>
      <c r="G33" s="37">
        <f>IF(F33=0,0,IF(F33&lt;=VLOOKUP(B33,العرض!$A$12:$C$15,2,FALSE),العرض!$B$6,IF(F33&lt;=VLOOKUP(B33,العرض!$A$12:$C$15,3,FALSE),العرض!$B$7,العرض!$B$8)))</f>
        <v/>
      </c>
      <c r="H33" s="24">
        <f>E33*G33</f>
        <v/>
      </c>
    </row>
    <row r="34" ht="20" customHeight="1">
      <c r="A34" s="26">
        <f>الأصناف!B26</f>
        <v/>
      </c>
      <c r="B34" s="26">
        <f>الأصناف!A26</f>
        <v/>
      </c>
      <c r="C34" s="35">
        <f>الأصناف!C26</f>
        <v/>
      </c>
      <c r="D34" s="36" t="n"/>
      <c r="E34" s="22">
        <f>IF(D34="",0,D34)*C34</f>
        <v/>
      </c>
      <c r="F34" s="29">
        <f>SUMIF($B$12:$B$35,B34,$D$12:$D$35)</f>
        <v/>
      </c>
      <c r="G34" s="37">
        <f>IF(F34=0,0,IF(F34&lt;=VLOOKUP(B34,العرض!$A$12:$C$15,2,FALSE),العرض!$B$6,IF(F34&lt;=VLOOKUP(B34,العرض!$A$12:$C$15,3,FALSE),العرض!$B$7,العرض!$B$8)))</f>
        <v/>
      </c>
      <c r="H34" s="24">
        <f>E34*G34</f>
        <v/>
      </c>
    </row>
    <row r="35" ht="20" customHeight="1">
      <c r="A35" s="26">
        <f>الأصناف!B27</f>
        <v/>
      </c>
      <c r="B35" s="26">
        <f>الأصناف!A27</f>
        <v/>
      </c>
      <c r="C35" s="35">
        <f>الأصناف!C27</f>
        <v/>
      </c>
      <c r="D35" s="36" t="n"/>
      <c r="E35" s="22">
        <f>IF(D35="",0,D35)*C35</f>
        <v/>
      </c>
      <c r="F35" s="29">
        <f>SUMIF($B$12:$B$35,B35,$D$12:$D$35)</f>
        <v/>
      </c>
      <c r="G35" s="37">
        <f>IF(F35=0,0,IF(F35&lt;=VLOOKUP(B35,العرض!$A$12:$C$15,2,FALSE),العرض!$B$6,IF(F35&lt;=VLOOKUP(B35,العرض!$A$12:$C$15,3,FALSE),العرض!$B$7,العرض!$B$8)))</f>
        <v/>
      </c>
      <c r="H35" s="24">
        <f>E35*G35</f>
        <v/>
      </c>
    </row>
    <row r="37">
      <c r="A37" s="38" t="inlineStr">
        <is>
          <t>مثال جاهز: 10 قطع من كل صنف. الشريحة تختلف إذا اختلف حد الكمية بين التصنيفات.</t>
        </is>
      </c>
    </row>
    <row r="38">
      <c r="A38" s="18" t="inlineStr">
        <is>
          <t>التصنيف</t>
        </is>
      </c>
      <c r="B38" s="18" t="inlineStr">
        <is>
          <t>الكمية</t>
        </is>
      </c>
      <c r="C38" s="18" t="inlineStr">
        <is>
          <t>الشريحة</t>
        </is>
      </c>
      <c r="D38" s="18" t="inlineStr">
        <is>
          <t>المبيعات</t>
        </is>
      </c>
      <c r="E38" s="18" t="inlineStr">
        <is>
          <t>العمولة</t>
        </is>
      </c>
      <c r="F38" s="18" t="inlineStr">
        <is>
          <t>النسبة من سعر البيع</t>
        </is>
      </c>
    </row>
    <row r="39">
      <c r="A39" s="12">
        <f>العرض!A12</f>
        <v/>
      </c>
      <c r="B39" s="39">
        <f>COUNTIF(الأصناف!$A$4:$A$27,A39)*10</f>
        <v/>
      </c>
      <c r="C39" s="40">
        <f>IF(B39&lt;=VLOOKUP(A39,العرض!$A$12:$C$15,2,FALSE),"الأولى",IF(B39&lt;=VLOOKUP(A39,العرض!$A$12:$C$15,3,FALSE),"الثانية","الثالثة"))</f>
        <v/>
      </c>
      <c r="D39" s="41">
        <f>SUMIF(الأصناف!$A$4:$A$27,A39,الأصناف!$C$4:$C$27)*10</f>
        <v/>
      </c>
      <c r="E39" s="42">
        <f>D39*IF(C39="الأولى",العرض!$B$6,IF(C39="الثانية",العرض!$B$7,العرض!$B$8))</f>
        <v/>
      </c>
      <c r="F39" s="43">
        <f>IF(D39=0,0,E39/D39)</f>
        <v/>
      </c>
    </row>
    <row r="40">
      <c r="A40" s="12">
        <f>العرض!A13</f>
        <v/>
      </c>
      <c r="B40" s="39">
        <f>COUNTIF(الأصناف!$A$4:$A$27,A40)*10</f>
        <v/>
      </c>
      <c r="C40" s="40">
        <f>IF(B40&lt;=VLOOKUP(A40,العرض!$A$12:$C$15,2,FALSE),"الأولى",IF(B40&lt;=VLOOKUP(A40,العرض!$A$12:$C$15,3,FALSE),"الثانية","الثالثة"))</f>
        <v/>
      </c>
      <c r="D40" s="41">
        <f>SUMIF(الأصناف!$A$4:$A$27,A40,الأصناف!$C$4:$C$27)*10</f>
        <v/>
      </c>
      <c r="E40" s="42">
        <f>D40*IF(C40="الأولى",العرض!$B$6,IF(C40="الثانية",العرض!$B$7,العرض!$B$8))</f>
        <v/>
      </c>
      <c r="F40" s="43">
        <f>IF(D40=0,0,E40/D40)</f>
        <v/>
      </c>
    </row>
    <row r="41">
      <c r="A41" s="12">
        <f>العرض!A14</f>
        <v/>
      </c>
      <c r="B41" s="39">
        <f>COUNTIF(الأصناف!$A$4:$A$27,A41)*10</f>
        <v/>
      </c>
      <c r="C41" s="40">
        <f>IF(B41&lt;=VLOOKUP(A41,العرض!$A$12:$C$15,2,FALSE),"الأولى",IF(B41&lt;=VLOOKUP(A41,العرض!$A$12:$C$15,3,FALSE),"الثانية","الثالثة"))</f>
        <v/>
      </c>
      <c r="D41" s="41">
        <f>SUMIF(الأصناف!$A$4:$A$27,A41,الأصناف!$C$4:$C$27)*10</f>
        <v/>
      </c>
      <c r="E41" s="42">
        <f>D41*IF(C41="الأولى",العرض!$B$6,IF(C41="الثانية",العرض!$B$7,العرض!$B$8))</f>
        <v/>
      </c>
      <c r="F41" s="43">
        <f>IF(D41=0,0,E41/D41)</f>
        <v/>
      </c>
    </row>
    <row r="42">
      <c r="A42" s="12">
        <f>العرض!A15</f>
        <v/>
      </c>
      <c r="B42" s="39">
        <f>COUNTIF(الأصناف!$A$4:$A$27,A42)*10</f>
        <v/>
      </c>
      <c r="C42" s="40">
        <f>IF(B42&lt;=VLOOKUP(A42,العرض!$A$12:$C$15,2,FALSE),"الأولى",IF(B42&lt;=VLOOKUP(A42,العرض!$A$12:$C$15,3,FALSE),"الثانية","الثالثة"))</f>
        <v/>
      </c>
      <c r="D42" s="41">
        <f>SUMIF(الأصناف!$A$4:$A$27,A42,الأصناف!$C$4:$C$27)*10</f>
        <v/>
      </c>
      <c r="E42" s="42">
        <f>D42*IF(C42="الأولى",العرض!$B$6,IF(C42="الثانية",العرض!$B$7,العرض!$B$8))</f>
        <v/>
      </c>
      <c r="F42" s="43">
        <f>IF(D42=0,0,E42/D42)</f>
        <v/>
      </c>
    </row>
    <row r="44">
      <c r="A44" s="44" t="inlineStr">
        <is>
          <t>مثال ثانٍ: 20 قطعة من كل صابون قالب، و 5 قطع من كل مقشر فقط.</t>
        </is>
      </c>
    </row>
    <row r="45">
      <c r="A45" s="12" t="inlineStr">
        <is>
          <t>صابون قالب</t>
        </is>
      </c>
      <c r="B45" s="45">
        <f>COUNTIF(الأصناف!$A$4:$A$27,"صابون قالب")*20</f>
        <v/>
      </c>
      <c r="C45" s="10">
        <f>IF(B45&lt;=VLOOKUP(A45,العرض!$A$12:$C$15,2,FALSE),"الأولى",IF(B45&lt;=VLOOKUP(A45,العرض!$A$12:$C$15,3,FALSE),"الثانية","الثالثة"))</f>
        <v/>
      </c>
      <c r="D45" s="28">
        <f>SUMIF(الأصناف!$A$4:$A$27,A45,الأصناف!$C$4:$C$27)*20</f>
        <v/>
      </c>
      <c r="E45" s="24">
        <f>D45*IF(C45="الأولى",العرض!$B$6,IF(C45="الثانية",العرض!$B$7,العرض!$B$8))</f>
        <v/>
      </c>
      <c r="F45" s="46">
        <f>IF(D45=0,0,E45/D45)</f>
        <v/>
      </c>
    </row>
    <row r="46">
      <c r="A46" s="12" t="inlineStr">
        <is>
          <t>مقشر جسم</t>
        </is>
      </c>
      <c r="B46" s="45">
        <f>COUNTIF(الأصناف!$A$4:$A$27,"مقشر جسم")*5</f>
        <v/>
      </c>
      <c r="C46" s="10">
        <f>IF(B46&lt;=VLOOKUP(A46,العرض!$A$12:$C$15,2,FALSE),"الأولى",IF(B46&lt;=VLOOKUP(A46,العرض!$A$12:$C$15,3,FALSE),"الثانية","الثالثة"))</f>
        <v/>
      </c>
      <c r="D46" s="28">
        <f>SUMIF(الأصناف!$A$4:$A$27,A46,الأصناف!$C$4:$C$27)*5</f>
        <v/>
      </c>
      <c r="E46" s="24">
        <f>D46*IF(C46="الأولى",العرض!$B$6,IF(C46="الثانية",العرض!$B$7,العرض!$B$8))</f>
        <v/>
      </c>
      <c r="F46" s="46">
        <f>IF(D46=0,0,E46/D46)</f>
        <v/>
      </c>
    </row>
  </sheetData>
  <mergeCells count="4">
    <mergeCell ref="A37:H37"/>
    <mergeCell ref="A2:H2"/>
    <mergeCell ref="A44:H44"/>
    <mergeCell ref="A1:H1"/>
  </mergeCells>
  <dataValidations count="1">
    <dataValidation sqref="D12:D35" showDropDown="0" showInputMessage="0" showErrorMessage="0" allowBlank="1" errorTitle="الكمية" error="أدخل كمية صحيحة" type="whole" operator="greaterThanOrEqual">
      <formula1>0</formula1>
    </dataValidation>
  </dataValidations>
  <pageMargins left="0.5" right="0.5" top="0.6" bottom="0.6" header="0.3" footer="0.3"/>
  <pageSetup orientation="landscape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عرض توزيع الصابون</dc:title>
  <dc:subject>عمولة من سعر البيع حسب كمية كل تصنيف</dc:subject>
  <dcterms:created xsi:type="dcterms:W3CDTF">2026-10-12T15:27:54Z</dcterms:created>
  <dcterms:modified xsi:type="dcterms:W3CDTF">2026-10-12T15:27:54Z</dcterms:modified>
</cp:coreProperties>
</file>