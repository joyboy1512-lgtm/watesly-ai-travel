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فاتورة" sheetId="1" state="visible" r:id="rId1"/>
    <sheet name="باكيت وبرطمان" sheetId="2" state="visible" r:id="rId2"/>
    <sheet name="ملخص حسب الوحدة" sheetId="3" state="visible" r:id="rId3"/>
    <sheet name="اختلاف الشد عن الاسم" sheetId="4" state="visible" r:id="rId4"/>
  </sheets>
  <definedNames>
    <definedName name="_xlnm._FilterDatabase" localSheetId="0" hidden="1">'الفاتورة'!$A$7:$J$93</definedName>
    <definedName name="_xlnm.Print_Titles" localSheetId="0">'الفاتورة'!$1:$8</definedName>
    <definedName name="_xlnm._FilterDatabase" localSheetId="1" hidden="1">'باكيت وبرطمان'!$A$6:$H$68</definedName>
    <definedName name="_xlnm.Print_Titles" localSheetId="1">'باكيت وبرطمان'!$1:$7</definedName>
  </definedNames>
  <calcPr calcId="124519" fullCalcOnLoad="1"/>
</workbook>
</file>

<file path=xl/styles.xml><?xml version="1.0" encoding="utf-8"?>
<styleSheet xmlns="http://schemas.openxmlformats.org/spreadsheetml/2006/main">
  <numFmts count="2">
    <numFmt numFmtId="164" formatCode="0.000"/>
    <numFmt numFmtId="165" formatCode="0.0000"/>
  </numFmts>
  <fonts count="20">
    <font>
      <name val="Calibri"/>
      <family val="2"/>
      <color theme="1"/>
      <sz val="11"/>
      <scheme val="minor"/>
    </font>
    <font>
      <name val="Calibri"/>
      <b val="1"/>
      <color rgb="001F4E79"/>
      <sz val="20"/>
    </font>
    <font>
      <name val="Calibri"/>
      <b val="1"/>
      <color rgb="00FFFFFF"/>
      <sz val="14"/>
    </font>
    <font>
      <name val="Calibri"/>
      <b val="1"/>
      <color rgb="001F4E79"/>
      <sz val="12"/>
    </font>
    <font>
      <name val="Calibri"/>
      <color rgb="00333333"/>
      <sz val="11"/>
    </font>
    <font>
      <name val="Calibri"/>
      <b val="1"/>
      <color rgb="00FFFFFF"/>
      <sz val="11"/>
    </font>
    <font>
      <name val="Calibri"/>
      <color rgb="00000000"/>
      <sz val="12"/>
    </font>
    <font>
      <name val="Calibri"/>
      <b val="1"/>
      <color rgb="007F6000"/>
      <sz val="12"/>
    </font>
    <font>
      <name val="Calibri"/>
      <b val="1"/>
      <color rgb="00FFFFFF"/>
      <sz val="13"/>
    </font>
    <font>
      <name val="Calibri"/>
      <b val="1"/>
      <color rgb="00FFFFFF"/>
      <sz val="12"/>
    </font>
    <font>
      <name val="Calibri"/>
      <b val="1"/>
      <color rgb="00000000"/>
      <sz val="11"/>
    </font>
    <font>
      <name val="Calibri"/>
      <b val="1"/>
      <color rgb="00FFFFFF"/>
      <sz val="18"/>
    </font>
    <font>
      <name val="Calibri"/>
      <color rgb="00333333"/>
      <sz val="12"/>
    </font>
    <font>
      <name val="Calibri"/>
      <b val="1"/>
      <color rgb="000D7377"/>
      <sz val="12"/>
    </font>
    <font>
      <name val="Calibri"/>
      <b val="1"/>
      <color rgb="007F6000"/>
      <sz val="13"/>
    </font>
    <font>
      <name val="Calibri"/>
      <color rgb="00000000"/>
      <sz val="10"/>
    </font>
    <font>
      <name val="Calibri"/>
      <color rgb="009C0006"/>
      <sz val="10"/>
    </font>
    <font>
      <name val="Calibri"/>
      <b val="1"/>
      <color rgb="00000000"/>
      <sz val="12"/>
    </font>
    <font>
      <name val="Calibri"/>
      <color rgb="009C0006"/>
      <sz val="12"/>
    </font>
    <font>
      <name val="Calibri"/>
      <b val="1"/>
      <color rgb="00FFFFFF"/>
      <sz val="16"/>
    </font>
  </fonts>
  <fills count="20">
    <fill>
      <patternFill/>
    </fill>
    <fill>
      <patternFill patternType="gray125"/>
    </fill>
    <fill>
      <patternFill patternType="solid">
        <fgColor rgb="001F4E79"/>
      </patternFill>
    </fill>
    <fill>
      <patternFill patternType="solid">
        <fgColor rgb="00E7F0F8"/>
      </patternFill>
    </fill>
    <fill>
      <patternFill patternType="solid">
        <fgColor rgb="00FFF8E1"/>
      </patternFill>
    </fill>
    <fill>
      <patternFill patternType="solid">
        <fgColor rgb="00BF8F00"/>
      </patternFill>
    </fill>
    <fill>
      <patternFill patternType="solid">
        <fgColor rgb="00E2EFDA"/>
      </patternFill>
    </fill>
    <fill>
      <patternFill patternType="solid">
        <fgColor rgb="00FFF2CC"/>
      </patternFill>
    </fill>
    <fill>
      <patternFill patternType="solid">
        <fgColor rgb="00FDE9D9"/>
      </patternFill>
    </fill>
    <fill>
      <patternFill patternType="solid">
        <fgColor rgb="00FCE4EC"/>
      </patternFill>
    </fill>
    <fill>
      <patternFill patternType="solid">
        <fgColor rgb="00DDEBF7"/>
      </patternFill>
    </fill>
    <fill>
      <patternFill patternType="solid">
        <fgColor rgb="00E2D5F1"/>
      </patternFill>
    </fill>
    <fill>
      <patternFill patternType="solid">
        <fgColor rgb="00F8CBAD"/>
      </patternFill>
    </fill>
    <fill>
      <patternFill patternType="solid">
        <fgColor rgb="00D0E0E3"/>
      </patternFill>
    </fill>
    <fill>
      <patternFill patternType="solid">
        <fgColor rgb="00D9EAD3"/>
      </patternFill>
    </fill>
    <fill>
      <patternFill patternType="solid">
        <fgColor rgb="000D7377"/>
      </patternFill>
    </fill>
    <fill>
      <patternFill patternType="solid">
        <fgColor rgb="00E6F4F1"/>
      </patternFill>
    </fill>
    <fill>
      <patternFill patternType="solid">
        <fgColor rgb="009C0006"/>
      </patternFill>
    </fill>
    <fill>
      <patternFill patternType="solid">
        <fgColor rgb="00FFFFFF"/>
      </patternFill>
    </fill>
    <fill>
      <patternFill patternType="solid">
        <fgColor rgb="00C6EFC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20">
    <xf numFmtId="0" fontId="0" fillId="0" borderId="0" pivotButton="0" quotePrefix="0" xfId="0"/>
    <xf numFmtId="0" fontId="1" fillId="0"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0" applyAlignment="1" pivotButton="0" quotePrefix="0" xfId="0">
      <alignment horizontal="right" vertical="center" wrapText="1"/>
    </xf>
    <xf numFmtId="0" fontId="4" fillId="0" borderId="0" applyAlignment="1" pivotButton="0" quotePrefix="0" xfId="0">
      <alignment horizontal="right" vertical="center" wrapText="1"/>
    </xf>
    <xf numFmtId="0" fontId="5" fillId="2"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6" borderId="1" applyAlignment="1" pivotButton="0" quotePrefix="0" xfId="0">
      <alignment horizontal="right" vertical="center" wrapText="1"/>
    </xf>
    <xf numFmtId="164" fontId="6" fillId="6" borderId="1" applyAlignment="1" pivotButton="0" quotePrefix="0" xfId="0">
      <alignment horizontal="center" vertical="center" wrapText="1"/>
    </xf>
    <xf numFmtId="165" fontId="7" fillId="7" borderId="1" applyAlignment="1" pivotButton="0" quotePrefix="0" xfId="0">
      <alignment horizontal="center" vertical="center" wrapText="1"/>
    </xf>
    <xf numFmtId="1" fontId="6" fillId="6"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8" borderId="1" applyAlignment="1" pivotButton="0" quotePrefix="0" xfId="0">
      <alignment horizontal="right" vertical="center" wrapText="1"/>
    </xf>
    <xf numFmtId="164" fontId="6" fillId="8" borderId="1" applyAlignment="1" pivotButton="0" quotePrefix="0" xfId="0">
      <alignment horizontal="center" vertical="center" wrapText="1"/>
    </xf>
    <xf numFmtId="1" fontId="6" fillId="8"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7" borderId="1" applyAlignment="1" pivotButton="0" quotePrefix="0" xfId="0">
      <alignment horizontal="right" vertical="center" wrapText="1"/>
    </xf>
    <xf numFmtId="164" fontId="6" fillId="7" borderId="1" applyAlignment="1" pivotButton="0" quotePrefix="0" xfId="0">
      <alignment horizontal="center" vertical="center" wrapText="1"/>
    </xf>
    <xf numFmtId="1" fontId="6" fillId="7" borderId="1" applyAlignment="1" pivotButton="0" quotePrefix="0" xfId="0">
      <alignment horizontal="center" vertical="center" wrapText="1"/>
    </xf>
    <xf numFmtId="0" fontId="6" fillId="9" borderId="1" applyAlignment="1" pivotButton="0" quotePrefix="0" xfId="0">
      <alignment horizontal="right" vertical="center" wrapText="1"/>
    </xf>
    <xf numFmtId="0" fontId="6" fillId="10" borderId="1" applyAlignment="1" pivotButton="0" quotePrefix="0" xfId="0">
      <alignment horizontal="center" vertical="center" wrapText="1"/>
    </xf>
    <xf numFmtId="0" fontId="6" fillId="10" borderId="1" applyAlignment="1" pivotButton="0" quotePrefix="0" xfId="0">
      <alignment horizontal="right" vertical="center" wrapText="1"/>
    </xf>
    <xf numFmtId="164" fontId="6" fillId="10" borderId="1" applyAlignment="1" pivotButton="0" quotePrefix="0" xfId="0">
      <alignment horizontal="center" vertical="center" wrapText="1"/>
    </xf>
    <xf numFmtId="1" fontId="6"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1" borderId="1" applyAlignment="1" pivotButton="0" quotePrefix="0" xfId="0">
      <alignment horizontal="right" vertical="center" wrapText="1"/>
    </xf>
    <xf numFmtId="164" fontId="6" fillId="11" borderId="1" applyAlignment="1" pivotButton="0" quotePrefix="0" xfId="0">
      <alignment horizontal="center" vertical="center" wrapText="1"/>
    </xf>
    <xf numFmtId="1" fontId="6" fillId="11" borderId="1" applyAlignment="1" pivotButton="0" quotePrefix="0" xfId="0">
      <alignment horizontal="center" vertical="center" wrapText="1"/>
    </xf>
    <xf numFmtId="0" fontId="6" fillId="12" borderId="1" applyAlignment="1" pivotButton="0" quotePrefix="0" xfId="0">
      <alignment horizontal="center" vertical="center" wrapText="1"/>
    </xf>
    <xf numFmtId="0" fontId="6" fillId="12" borderId="1" applyAlignment="1" pivotButton="0" quotePrefix="0" xfId="0">
      <alignment horizontal="right" vertical="center" wrapText="1"/>
    </xf>
    <xf numFmtId="164" fontId="6" fillId="12" borderId="1" applyAlignment="1" pivotButton="0" quotePrefix="0" xfId="0">
      <alignment horizontal="center" vertical="center" wrapText="1"/>
    </xf>
    <xf numFmtId="1" fontId="6"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6" fillId="13" borderId="1" applyAlignment="1" pivotButton="0" quotePrefix="0" xfId="0">
      <alignment horizontal="right" vertical="center" wrapText="1"/>
    </xf>
    <xf numFmtId="164" fontId="6" fillId="13" borderId="1" applyAlignment="1" pivotButton="0" quotePrefix="0" xfId="0">
      <alignment horizontal="center" vertical="center" wrapText="1"/>
    </xf>
    <xf numFmtId="1" fontId="6" fillId="13" borderId="1" applyAlignment="1" pivotButton="0" quotePrefix="0" xfId="0">
      <alignment horizontal="center" vertical="center" wrapText="1"/>
    </xf>
    <xf numFmtId="0" fontId="6" fillId="14" borderId="1" applyAlignment="1" pivotButton="0" quotePrefix="0" xfId="0">
      <alignment horizontal="center" vertical="center" wrapText="1"/>
    </xf>
    <xf numFmtId="0" fontId="6" fillId="14" borderId="1" applyAlignment="1" pivotButton="0" quotePrefix="0" xfId="0">
      <alignment horizontal="right" vertical="center" wrapText="1"/>
    </xf>
    <xf numFmtId="164" fontId="6" fillId="14" borderId="1" applyAlignment="1" pivotButton="0" quotePrefix="0" xfId="0">
      <alignment horizontal="center" vertical="center" wrapText="1"/>
    </xf>
    <xf numFmtId="1" fontId="6" fillId="14" borderId="1" applyAlignment="1" pivotButton="0" quotePrefix="0" xfId="0">
      <alignment horizontal="center" vertical="center" wrapText="1"/>
    </xf>
    <xf numFmtId="0" fontId="9" fillId="2" borderId="1" applyAlignment="1" pivotButton="0" quotePrefix="0" xfId="0">
      <alignment horizontal="center" vertical="center" wrapText="1"/>
    </xf>
    <xf numFmtId="1" fontId="8" fillId="2" borderId="1" applyAlignment="1" pivotButton="0" quotePrefix="0" xfId="0">
      <alignment horizontal="center" vertical="center" wrapText="1"/>
    </xf>
    <xf numFmtId="164" fontId="8" fillId="2" borderId="1" applyAlignment="1" pivotButton="0" quotePrefix="0" xfId="0">
      <alignment horizontal="center" vertical="center" wrapText="1"/>
    </xf>
    <xf numFmtId="3" fontId="8" fillId="2" borderId="1" applyAlignment="1" pivotButton="0" quotePrefix="0" xfId="0">
      <alignment horizontal="center" vertical="center" wrapText="1"/>
    </xf>
    <xf numFmtId="0" fontId="3" fillId="0" borderId="0" pivotButton="0" quotePrefix="0" xfId="0"/>
    <xf numFmtId="0" fontId="10" fillId="6" borderId="1" applyAlignment="1" pivotButton="0" quotePrefix="0" xfId="0">
      <alignment horizontal="center" vertical="center" wrapText="1"/>
    </xf>
    <xf numFmtId="0" fontId="10" fillId="8" borderId="1" applyAlignment="1" pivotButton="0" quotePrefix="0" xfId="0">
      <alignment horizontal="center" vertical="center" wrapText="1"/>
    </xf>
    <xf numFmtId="0" fontId="10" fillId="10" borderId="1" applyAlignment="1" pivotButton="0" quotePrefix="0" xfId="0">
      <alignment horizontal="center" vertical="center" wrapText="1"/>
    </xf>
    <xf numFmtId="0" fontId="10" fillId="11"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12"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3" borderId="1" applyAlignment="1" pivotButton="0" quotePrefix="0" xfId="0">
      <alignment horizontal="center" vertical="center" wrapText="1"/>
    </xf>
    <xf numFmtId="0" fontId="11" fillId="15" borderId="0" applyAlignment="1" pivotButton="0" quotePrefix="0" xfId="0">
      <alignment horizontal="center" vertical="center"/>
    </xf>
    <xf numFmtId="0" fontId="12" fillId="16" borderId="0" applyAlignment="1" pivotButton="0" quotePrefix="0" xfId="0">
      <alignment horizontal="center" vertical="center" wrapText="1"/>
    </xf>
    <xf numFmtId="0" fontId="13" fillId="0" borderId="0" applyAlignment="1" pivotButton="0" quotePrefix="0" xfId="0">
      <alignment horizontal="center" vertical="center"/>
    </xf>
    <xf numFmtId="0" fontId="5" fillId="15" borderId="1" applyAlignment="1" pivotButton="0" quotePrefix="0" xfId="0">
      <alignment horizontal="center" vertical="center" wrapText="1"/>
    </xf>
    <xf numFmtId="165" fontId="14" fillId="7" borderId="1" applyAlignment="1" pivotButton="0" quotePrefix="0" xfId="0">
      <alignment horizontal="center" vertical="center" wrapText="1"/>
    </xf>
    <xf numFmtId="0" fontId="15" fillId="6" borderId="1" applyAlignment="1" pivotButton="0" quotePrefix="0" xfId="0">
      <alignment horizontal="right" vertical="center" wrapText="1"/>
    </xf>
    <xf numFmtId="0" fontId="15" fillId="8" borderId="1" applyAlignment="1" pivotButton="0" quotePrefix="0" xfId="0">
      <alignment horizontal="right" vertical="center" wrapText="1"/>
    </xf>
    <xf numFmtId="0" fontId="16" fillId="9" borderId="1" applyAlignment="1" pivotButton="0" quotePrefix="0" xfId="0">
      <alignment horizontal="right" vertical="center" wrapText="1"/>
    </xf>
    <xf numFmtId="0" fontId="11" fillId="2" borderId="0" applyAlignment="1" pivotButton="0" quotePrefix="0" xfId="0">
      <alignment horizontal="center" vertical="center"/>
    </xf>
    <xf numFmtId="0" fontId="8" fillId="15" borderId="0" applyAlignment="1" pivotButton="0" quotePrefix="0" xfId="0">
      <alignment horizontal="center" vertical="center" wrapText="1"/>
    </xf>
    <xf numFmtId="0" fontId="0" fillId="15" borderId="0" pivotButton="0" quotePrefix="0" xfId="0"/>
    <xf numFmtId="0" fontId="3" fillId="3" borderId="1" applyAlignment="1" pivotButton="0" quotePrefix="0" xfId="0">
      <alignment horizontal="center" vertical="center" wrapText="1"/>
    </xf>
    <xf numFmtId="0" fontId="17" fillId="0" borderId="1" applyAlignment="1" pivotButton="0" quotePrefix="0" xfId="0">
      <alignment horizontal="center" vertical="center" wrapText="1"/>
    </xf>
    <xf numFmtId="0" fontId="17" fillId="8" borderId="1" applyAlignment="1" pivotButton="0" quotePrefix="0" xfId="0">
      <alignment horizontal="center" vertical="center" wrapText="1"/>
    </xf>
    <xf numFmtId="165" fontId="6" fillId="8" borderId="1" applyAlignment="1" pivotButton="0" quotePrefix="0" xfId="0">
      <alignment horizontal="center" vertical="center" wrapText="1"/>
    </xf>
    <xf numFmtId="0" fontId="17" fillId="6" borderId="1" applyAlignment="1" pivotButton="0" quotePrefix="0" xfId="0">
      <alignment horizontal="center" vertical="center" wrapText="1"/>
    </xf>
    <xf numFmtId="165" fontId="6" fillId="6" borderId="1" applyAlignment="1" pivotButton="0" quotePrefix="0" xfId="0">
      <alignment horizontal="center" vertical="center" wrapText="1"/>
    </xf>
    <xf numFmtId="0" fontId="17" fillId="10" borderId="1" applyAlignment="1" pivotButton="0" quotePrefix="0" xfId="0">
      <alignment horizontal="center" vertical="center" wrapText="1"/>
    </xf>
    <xf numFmtId="165" fontId="6" fillId="10" borderId="1" applyAlignment="1" pivotButton="0" quotePrefix="0" xfId="0">
      <alignment horizontal="center" vertical="center" wrapText="1"/>
    </xf>
    <xf numFmtId="0" fontId="17" fillId="11" borderId="1" applyAlignment="1" pivotButton="0" quotePrefix="0" xfId="0">
      <alignment horizontal="center" vertical="center" wrapText="1"/>
    </xf>
    <xf numFmtId="165" fontId="6" fillId="11" borderId="1" applyAlignment="1" pivotButton="0" quotePrefix="0" xfId="0">
      <alignment horizontal="center" vertical="center" wrapText="1"/>
    </xf>
    <xf numFmtId="0" fontId="17" fillId="14" borderId="1" applyAlignment="1" pivotButton="0" quotePrefix="0" xfId="0">
      <alignment horizontal="center" vertical="center" wrapText="1"/>
    </xf>
    <xf numFmtId="165" fontId="6" fillId="14" borderId="1" applyAlignment="1" pivotButton="0" quotePrefix="0" xfId="0">
      <alignment horizontal="center" vertical="center" wrapText="1"/>
    </xf>
    <xf numFmtId="0" fontId="17" fillId="7" borderId="1" applyAlignment="1" pivotButton="0" quotePrefix="0" xfId="0">
      <alignment horizontal="center" vertical="center" wrapText="1"/>
    </xf>
    <xf numFmtId="165" fontId="6" fillId="7" borderId="1" applyAlignment="1" pivotButton="0" quotePrefix="0" xfId="0">
      <alignment horizontal="center" vertical="center" wrapText="1"/>
    </xf>
    <xf numFmtId="0" fontId="17" fillId="12" borderId="1" applyAlignment="1" pivotButton="0" quotePrefix="0" xfId="0">
      <alignment horizontal="center" vertical="center" wrapText="1"/>
    </xf>
    <xf numFmtId="165" fontId="6" fillId="12" borderId="1" applyAlignment="1" pivotButton="0" quotePrefix="0" xfId="0">
      <alignment horizontal="center" vertical="center" wrapText="1"/>
    </xf>
    <xf numFmtId="0" fontId="17" fillId="13" borderId="1" applyAlignment="1" pivotButton="0" quotePrefix="0" xfId="0">
      <alignment horizontal="center" vertical="center" wrapText="1"/>
    </xf>
    <xf numFmtId="165" fontId="6" fillId="13" borderId="1" applyAlignment="1" pivotButton="0" quotePrefix="0" xfId="0">
      <alignment horizontal="center" vertical="center" wrapText="1"/>
    </xf>
    <xf numFmtId="164" fontId="9" fillId="2" borderId="1" applyAlignment="1" pivotButton="0" quotePrefix="0" xfId="0">
      <alignment horizontal="center" vertical="center" wrapText="1"/>
    </xf>
    <xf numFmtId="0" fontId="12" fillId="0" borderId="0" applyAlignment="1" pivotButton="0" quotePrefix="0" xfId="0">
      <alignment horizontal="right" vertical="center" wrapText="1"/>
    </xf>
    <xf numFmtId="0" fontId="18" fillId="9" borderId="0" applyAlignment="1" pivotButton="0" quotePrefix="0" xfId="0">
      <alignment horizontal="right" vertical="center" wrapText="1"/>
    </xf>
    <xf numFmtId="0" fontId="19" fillId="17" borderId="0" applyAlignment="1" pivotButton="0" quotePrefix="0" xfId="0">
      <alignment horizontal="center" vertical="center"/>
    </xf>
    <xf numFmtId="0" fontId="6" fillId="9" borderId="0" applyAlignment="1" pivotButton="0" quotePrefix="0" xfId="0">
      <alignment horizontal="center" vertical="center" wrapText="1"/>
    </xf>
    <xf numFmtId="0" fontId="5" fillId="17" borderId="1" applyAlignment="1" pivotButton="0" quotePrefix="0" xfId="0">
      <alignment horizontal="center" vertical="center" wrapText="1"/>
    </xf>
    <xf numFmtId="0" fontId="6" fillId="18" borderId="1" applyAlignment="1" pivotButton="0" quotePrefix="0" xfId="0">
      <alignment horizontal="center" vertical="center" wrapText="1"/>
    </xf>
    <xf numFmtId="0" fontId="6" fillId="18" borderId="1" applyAlignment="1" pivotButton="0" quotePrefix="0" xfId="0">
      <alignment horizontal="right" vertical="center" wrapText="1"/>
    </xf>
    <xf numFmtId="164" fontId="6" fillId="18" borderId="1" applyAlignment="1" pivotButton="0" quotePrefix="0" xfId="0">
      <alignment horizontal="center" vertical="center" wrapText="1"/>
    </xf>
    <xf numFmtId="165" fontId="17" fillId="7" borderId="1" applyAlignment="1" pivotButton="0" quotePrefix="0" xfId="0">
      <alignment horizontal="center" vertical="center" wrapText="1"/>
    </xf>
    <xf numFmtId="165" fontId="17" fillId="19" borderId="1" applyAlignment="1" pivotButton="0" quotePrefix="0" xfId="0">
      <alignment horizontal="center" vertical="center" wrapText="1"/>
    </xf>
    <xf numFmtId="164" fontId="6" fillId="6" borderId="1" applyAlignment="1" pivotButton="0" quotePrefix="0" xfId="0">
      <alignment horizontal="center" vertical="center" wrapText="1"/>
    </xf>
    <xf numFmtId="165" fontId="7" fillId="7" borderId="1" applyAlignment="1" pivotButton="0" quotePrefix="0" xfId="0">
      <alignment horizontal="center" vertical="center" wrapText="1"/>
    </xf>
    <xf numFmtId="164" fontId="6" fillId="8" borderId="1" applyAlignment="1" pivotButton="0" quotePrefix="0" xfId="0">
      <alignment horizontal="center" vertical="center" wrapText="1"/>
    </xf>
    <xf numFmtId="164" fontId="6" fillId="7" borderId="1" applyAlignment="1" pivotButton="0" quotePrefix="0" xfId="0">
      <alignment horizontal="center" vertical="center" wrapText="1"/>
    </xf>
    <xf numFmtId="164" fontId="6" fillId="10" borderId="1" applyAlignment="1" pivotButton="0" quotePrefix="0" xfId="0">
      <alignment horizontal="center" vertical="center" wrapText="1"/>
    </xf>
    <xf numFmtId="164" fontId="6" fillId="11" borderId="1" applyAlignment="1" pivotButton="0" quotePrefix="0" xfId="0">
      <alignment horizontal="center" vertical="center" wrapText="1"/>
    </xf>
    <xf numFmtId="164" fontId="6" fillId="12" borderId="1" applyAlignment="1" pivotButton="0" quotePrefix="0" xfId="0">
      <alignment horizontal="center" vertical="center" wrapText="1"/>
    </xf>
    <xf numFmtId="164" fontId="6" fillId="13" borderId="1" applyAlignment="1" pivotButton="0" quotePrefix="0" xfId="0">
      <alignment horizontal="center" vertical="center" wrapText="1"/>
    </xf>
    <xf numFmtId="164" fontId="6" fillId="14" borderId="1" applyAlignment="1" pivotButton="0" quotePrefix="0" xfId="0">
      <alignment horizontal="center" vertical="center" wrapText="1"/>
    </xf>
    <xf numFmtId="0" fontId="0" fillId="0" borderId="4" pivotButton="0" quotePrefix="0" xfId="0"/>
    <xf numFmtId="0" fontId="0" fillId="0" borderId="5" pivotButton="0" quotePrefix="0" xfId="0"/>
    <xf numFmtId="164" fontId="8" fillId="2" borderId="1" applyAlignment="1" pivotButton="0" quotePrefix="0" xfId="0">
      <alignment horizontal="center" vertical="center" wrapText="1"/>
    </xf>
    <xf numFmtId="165" fontId="14" fillId="7" borderId="1" applyAlignment="1" pivotButton="0" quotePrefix="0" xfId="0">
      <alignment horizontal="center" vertical="center" wrapText="1"/>
    </xf>
    <xf numFmtId="165" fontId="6" fillId="8" borderId="1" applyAlignment="1" pivotButton="0" quotePrefix="0" xfId="0">
      <alignment horizontal="center" vertical="center" wrapText="1"/>
    </xf>
    <xf numFmtId="165" fontId="6" fillId="6" borderId="1" applyAlignment="1" pivotButton="0" quotePrefix="0" xfId="0">
      <alignment horizontal="center" vertical="center" wrapText="1"/>
    </xf>
    <xf numFmtId="165" fontId="6" fillId="10" borderId="1" applyAlignment="1" pivotButton="0" quotePrefix="0" xfId="0">
      <alignment horizontal="center" vertical="center" wrapText="1"/>
    </xf>
    <xf numFmtId="165" fontId="6" fillId="11" borderId="1" applyAlignment="1" pivotButton="0" quotePrefix="0" xfId="0">
      <alignment horizontal="center" vertical="center" wrapText="1"/>
    </xf>
    <xf numFmtId="165" fontId="6" fillId="14" borderId="1" applyAlignment="1" pivotButton="0" quotePrefix="0" xfId="0">
      <alignment horizontal="center" vertical="center" wrapText="1"/>
    </xf>
    <xf numFmtId="165" fontId="6" fillId="7" borderId="1" applyAlignment="1" pivotButton="0" quotePrefix="0" xfId="0">
      <alignment horizontal="center" vertical="center" wrapText="1"/>
    </xf>
    <xf numFmtId="165" fontId="6" fillId="12" borderId="1" applyAlignment="1" pivotButton="0" quotePrefix="0" xfId="0">
      <alignment horizontal="center" vertical="center" wrapText="1"/>
    </xf>
    <xf numFmtId="165" fontId="6" fillId="13" borderId="1" applyAlignment="1" pivotButton="0" quotePrefix="0" xfId="0">
      <alignment horizontal="center" vertical="center" wrapText="1"/>
    </xf>
    <xf numFmtId="164" fontId="9" fillId="2" borderId="1" applyAlignment="1" pivotButton="0" quotePrefix="0" xfId="0">
      <alignment horizontal="center" vertical="center" wrapText="1"/>
    </xf>
    <xf numFmtId="164" fontId="6" fillId="18" borderId="1" applyAlignment="1" pivotButton="0" quotePrefix="0" xfId="0">
      <alignment horizontal="center" vertical="center" wrapText="1"/>
    </xf>
    <xf numFmtId="165" fontId="17" fillId="7" borderId="1" applyAlignment="1" pivotButton="0" quotePrefix="0" xfId="0">
      <alignment horizontal="center" vertical="center" wrapText="1"/>
    </xf>
    <xf numFmtId="165" fontId="17" fillId="1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J98"/>
  <sheetViews>
    <sheetView showGridLines="0" rightToLeft="1" view="normal" zoomScale="110" workbookViewId="0">
      <pane ySplit="7" topLeftCell="A8" activePane="bottomLeft" state="frozen"/>
      <selection pane="bottomLeft" activeCell="A1" sqref="A1"/>
    </sheetView>
  </sheetViews>
  <sheetFormatPr baseColWidth="8" defaultRowHeight="15"/>
  <cols>
    <col width="14" customWidth="1" min="1" max="1"/>
    <col width="62" customWidth="1" min="2" max="2"/>
    <col width="16" customWidth="1" min="3" max="3"/>
    <col width="12" customWidth="1" min="4" max="4"/>
    <col width="12" customWidth="1" min="5" max="5"/>
    <col width="16" customWidth="1" min="6" max="6"/>
    <col width="16" customWidth="1" min="7" max="7"/>
    <col width="16" customWidth="1" min="8" max="8"/>
    <col width="16" customWidth="1" min="9" max="9"/>
    <col width="62" customWidth="1" min="10" max="10"/>
  </cols>
  <sheetData>
    <row r="1" ht="32" customHeight="1">
      <c r="A1" s="1" t="inlineStr">
        <is>
          <t>شركة مركز عالم الحلويات للأسواق المركزية</t>
        </is>
      </c>
    </row>
    <row r="2" ht="26" customHeight="1">
      <c r="A2" s="2" t="inlineStr">
        <is>
          <t>سعر الحبة الواحدة  |  فاتورة بالحساب رقم 26002232  |  التاريخ 03/10/2026</t>
        </is>
      </c>
    </row>
    <row r="3" ht="24" customHeight="1">
      <c r="A3" s="3" t="inlineStr">
        <is>
          <t>العميل: شركة بقالة بيغ ياغ    |    رقم الحساب: 1815    |    البائع: gus    |    الإجمالي: 331.500 د.ك    |    العدد: 141</t>
        </is>
      </c>
    </row>
    <row r="4" ht="36" customHeight="1">
      <c r="A4" s="4" t="inlineStr">
        <is>
          <t>طريقة الحساب: سعر الحبة = سعر الوحدة ÷ الشد. إذا كانت الوحدة حبة فالشد = ١ وسعر الحبة هو سعر الوحدة. إذا كانت باكيت أو برطمان أو أي عبوة أخرى، يُقسَّم سعر العبوة على عدد الحبات في عمود الشد.</t>
        </is>
      </c>
    </row>
    <row r="5" ht="32" customHeight="1">
      <c r="A5" s="5" t="inlineStr">
        <is>
          <t>الأسعار بالدينار الكويتي. سعر الوحدة والإجمالي كما في الفاتورة (٣ خانات). سعر الحبة موضّح بأربع خانات حتى تظهر الكسور الصغيرة مثل ٠.٠٣٥٠. الصفوف الملونة حسب نوع الوحدة، وعمود سعر الحبة مميز بالذهبي.</t>
        </is>
      </c>
    </row>
    <row r="6" ht="8" customHeight="1"/>
    <row r="7" ht="36" customHeight="1">
      <c r="A7" s="6" t="inlineStr">
        <is>
          <t>رقم الصنف</t>
        </is>
      </c>
      <c r="B7" s="6" t="inlineStr">
        <is>
          <t>اسم الصنف</t>
        </is>
      </c>
      <c r="C7" s="6" t="inlineStr">
        <is>
          <t>الشد
(حبات في العبوة)</t>
        </is>
      </c>
      <c r="D7" s="6" t="inlineStr">
        <is>
          <t>الوحدة</t>
        </is>
      </c>
      <c r="E7" s="6" t="inlineStr">
        <is>
          <t>العدد</t>
        </is>
      </c>
      <c r="F7" s="6" t="inlineStr">
        <is>
          <t>سعر الوحدة
(د.ك)</t>
        </is>
      </c>
      <c r="G7" s="6" t="inlineStr">
        <is>
          <t>السعر الإجمالي
(د.ك)</t>
        </is>
      </c>
      <c r="H7" s="7" t="inlineStr">
        <is>
          <t>سعر الحبة
(د.ك)</t>
        </is>
      </c>
      <c r="I7" s="6" t="inlineStr">
        <is>
          <t>إجمالي الحبات
(الشد × العدد)</t>
        </is>
      </c>
      <c r="J7" s="6" t="inlineStr">
        <is>
          <t>تنبيه</t>
        </is>
      </c>
    </row>
    <row r="8" ht="22" customHeight="1">
      <c r="A8" s="8" t="n">
        <v>1</v>
      </c>
      <c r="B8" s="9" t="inlineStr">
        <is>
          <t>مصاص ايل انتيكا مرطبان قلب احمر ٤٠ حبة</t>
        </is>
      </c>
      <c r="C8" s="8" t="n">
        <v>40</v>
      </c>
      <c r="D8" s="8" t="inlineStr">
        <is>
          <t>برطمان</t>
        </is>
      </c>
      <c r="E8" s="8" t="n">
        <v>1</v>
      </c>
      <c r="F8" s="95" t="n">
        <v>1.4</v>
      </c>
      <c r="G8" s="95" t="n">
        <v>1.4</v>
      </c>
      <c r="H8" s="96">
        <f>F8/C8</f>
        <v/>
      </c>
      <c r="I8" s="12">
        <f>C8*E8</f>
        <v/>
      </c>
      <c r="J8" s="9" t="inlineStr"/>
    </row>
    <row r="9" ht="22" customHeight="1">
      <c r="A9" s="8" t="n">
        <v>2</v>
      </c>
      <c r="B9" s="9" t="inlineStr">
        <is>
          <t>مصاص ايل انتيكا مرطبان بروش ازرق ٤٠ حبة</t>
        </is>
      </c>
      <c r="C9" s="8" t="n">
        <v>40</v>
      </c>
      <c r="D9" s="8" t="inlineStr">
        <is>
          <t>برطمان</t>
        </is>
      </c>
      <c r="E9" s="8" t="n">
        <v>1</v>
      </c>
      <c r="F9" s="95" t="n">
        <v>1.4</v>
      </c>
      <c r="G9" s="95" t="n">
        <v>1.4</v>
      </c>
      <c r="H9" s="96">
        <f>F9/C9</f>
        <v/>
      </c>
      <c r="I9" s="12">
        <f>C9*E9</f>
        <v/>
      </c>
      <c r="J9" s="9" t="inlineStr"/>
    </row>
    <row r="10" ht="22" customHeight="1">
      <c r="A10" s="13" t="n">
        <v>3</v>
      </c>
      <c r="B10" s="14" t="inlineStr">
        <is>
          <t>ايتي بوب كيك بصلصة الشوكولاتة ٣٥ جم</t>
        </is>
      </c>
      <c r="C10" s="13" t="n">
        <v>24</v>
      </c>
      <c r="D10" s="13" t="inlineStr">
        <is>
          <t>باكيت</t>
        </is>
      </c>
      <c r="E10" s="13" t="n">
        <v>1</v>
      </c>
      <c r="F10" s="97" t="n">
        <v>1.95</v>
      </c>
      <c r="G10" s="97" t="n">
        <v>1.95</v>
      </c>
      <c r="H10" s="96">
        <f>F10/C10</f>
        <v/>
      </c>
      <c r="I10" s="16">
        <f>C10*E10</f>
        <v/>
      </c>
      <c r="J10" s="14" t="inlineStr"/>
    </row>
    <row r="11" ht="22" customHeight="1">
      <c r="A11" s="13" t="n">
        <v>4</v>
      </c>
      <c r="B11" s="14" t="inlineStr">
        <is>
          <t>علك ماكينة لاكي يورسويت مشكل ١٢ حبة</t>
        </is>
      </c>
      <c r="C11" s="13" t="n">
        <v>12</v>
      </c>
      <c r="D11" s="13" t="inlineStr">
        <is>
          <t>باكيت</t>
        </is>
      </c>
      <c r="E11" s="13" t="n">
        <v>1</v>
      </c>
      <c r="F11" s="97" t="n">
        <v>3.5</v>
      </c>
      <c r="G11" s="97" t="n">
        <v>3.5</v>
      </c>
      <c r="H11" s="96">
        <f>F11/C11</f>
        <v/>
      </c>
      <c r="I11" s="16">
        <f>C11*E11</f>
        <v/>
      </c>
      <c r="J11" s="14" t="inlineStr"/>
    </row>
    <row r="12" ht="22" customHeight="1">
      <c r="A12" s="13" t="n">
        <v>5</v>
      </c>
      <c r="B12" s="14" t="inlineStr">
        <is>
          <t>علك ماكينة سبين يورسويت مشكل ١٢ حبة</t>
        </is>
      </c>
      <c r="C12" s="13" t="n">
        <v>12</v>
      </c>
      <c r="D12" s="13" t="inlineStr">
        <is>
          <t>باكيت</t>
        </is>
      </c>
      <c r="E12" s="13" t="n">
        <v>1</v>
      </c>
      <c r="F12" s="97" t="n">
        <v>3.5</v>
      </c>
      <c r="G12" s="97" t="n">
        <v>3.5</v>
      </c>
      <c r="H12" s="96">
        <f>F12/C12</f>
        <v/>
      </c>
      <c r="I12" s="16">
        <f>C12*E12</f>
        <v/>
      </c>
      <c r="J12" s="14" t="inlineStr"/>
    </row>
    <row r="13" ht="22" customHeight="1">
      <c r="A13" s="13" t="n">
        <v>6</v>
      </c>
      <c r="B13" s="14" t="inlineStr">
        <is>
          <t>بسكويت ريتز اصلي باكيت ٣٩.٦×١٢ جم</t>
        </is>
      </c>
      <c r="C13" s="13" t="n">
        <v>12</v>
      </c>
      <c r="D13" s="13" t="inlineStr">
        <is>
          <t>باكيت</t>
        </is>
      </c>
      <c r="E13" s="13" t="n">
        <v>1</v>
      </c>
      <c r="F13" s="97" t="n">
        <v>1.1</v>
      </c>
      <c r="G13" s="97" t="n">
        <v>1.1</v>
      </c>
      <c r="H13" s="96">
        <f>F13/C13</f>
        <v/>
      </c>
      <c r="I13" s="16">
        <f>C13*E13</f>
        <v/>
      </c>
      <c r="J13" s="14" t="inlineStr"/>
    </row>
    <row r="14" ht="22" customHeight="1">
      <c r="A14" s="13" t="n">
        <v>7</v>
      </c>
      <c r="B14" s="14" t="inlineStr">
        <is>
          <t>رول اب حلوى يامي تريت باكيت ١٠ حبة</t>
        </is>
      </c>
      <c r="C14" s="13" t="n">
        <v>10</v>
      </c>
      <c r="D14" s="13" t="inlineStr">
        <is>
          <t>باكيت</t>
        </is>
      </c>
      <c r="E14" s="13" t="n">
        <v>3</v>
      </c>
      <c r="F14" s="97" t="n">
        <v>1.5</v>
      </c>
      <c r="G14" s="97" t="n">
        <v>4.5</v>
      </c>
      <c r="H14" s="96">
        <f>F14/C14</f>
        <v/>
      </c>
      <c r="I14" s="16">
        <f>C14*E14</f>
        <v/>
      </c>
      <c r="J14" s="14" t="inlineStr"/>
    </row>
    <row r="15" ht="22" customHeight="1">
      <c r="A15" s="13" t="n">
        <v>8</v>
      </c>
      <c r="B15" s="14" t="inlineStr">
        <is>
          <t>جلي رسومات حيوانات فيدال كريبي ٦×١١</t>
        </is>
      </c>
      <c r="C15" s="13" t="n">
        <v>11</v>
      </c>
      <c r="D15" s="13" t="inlineStr">
        <is>
          <t>باكيت</t>
        </is>
      </c>
      <c r="E15" s="13" t="n">
        <v>1</v>
      </c>
      <c r="F15" s="97" t="n">
        <v>4.5</v>
      </c>
      <c r="G15" s="97" t="n">
        <v>4.5</v>
      </c>
      <c r="H15" s="96">
        <f>F15/C15</f>
        <v/>
      </c>
      <c r="I15" s="16">
        <f>C15*E15</f>
        <v/>
      </c>
      <c r="J15" s="14" t="inlineStr"/>
    </row>
    <row r="16" ht="22" customHeight="1">
      <c r="A16" s="13" t="n">
        <v>9</v>
      </c>
      <c r="B16" s="14" t="inlineStr">
        <is>
          <t>جلي رسومات حيوانات فيدال اوشن ٦×١١</t>
        </is>
      </c>
      <c r="C16" s="13" t="n">
        <v>11</v>
      </c>
      <c r="D16" s="13" t="inlineStr">
        <is>
          <t>باكيت</t>
        </is>
      </c>
      <c r="E16" s="13" t="n">
        <v>1</v>
      </c>
      <c r="F16" s="97" t="n">
        <v>4.5</v>
      </c>
      <c r="G16" s="97" t="n">
        <v>4.5</v>
      </c>
      <c r="H16" s="96">
        <f>F16/C16</f>
        <v/>
      </c>
      <c r="I16" s="16">
        <f>C16*E16</f>
        <v/>
      </c>
      <c r="J16" s="14" t="inlineStr"/>
    </row>
    <row r="17" ht="22" customHeight="1">
      <c r="A17" s="13" t="n">
        <v>10</v>
      </c>
      <c r="B17" s="14" t="inlineStr">
        <is>
          <t>جلي بودينج ريكو ٤٠ جم مشكل</t>
        </is>
      </c>
      <c r="C17" s="13" t="n">
        <v>24</v>
      </c>
      <c r="D17" s="13" t="inlineStr">
        <is>
          <t>باكيت</t>
        </is>
      </c>
      <c r="E17" s="13" t="n">
        <v>3</v>
      </c>
      <c r="F17" s="97" t="n">
        <v>1.1</v>
      </c>
      <c r="G17" s="97" t="n">
        <v>3.3</v>
      </c>
      <c r="H17" s="96">
        <f>F17/C17</f>
        <v/>
      </c>
      <c r="I17" s="16">
        <f>C17*E17</f>
        <v/>
      </c>
      <c r="J17" s="14" t="inlineStr"/>
    </row>
    <row r="18" ht="22" customHeight="1">
      <c r="A18" s="13" t="n">
        <v>11</v>
      </c>
      <c r="B18" s="14" t="inlineStr">
        <is>
          <t>بسكويت اوريو اصلي باكيت ٣٦.٨×١٢ جم</t>
        </is>
      </c>
      <c r="C18" s="13" t="n">
        <v>12</v>
      </c>
      <c r="D18" s="13" t="inlineStr">
        <is>
          <t>باكيت</t>
        </is>
      </c>
      <c r="E18" s="13" t="n">
        <v>1</v>
      </c>
      <c r="F18" s="97" t="n">
        <v>0.95</v>
      </c>
      <c r="G18" s="97" t="n">
        <v>0.95</v>
      </c>
      <c r="H18" s="96">
        <f>F18/C18</f>
        <v/>
      </c>
      <c r="I18" s="16">
        <f>C18*E18</f>
        <v/>
      </c>
      <c r="J18" s="14" t="inlineStr"/>
    </row>
    <row r="19" ht="22" customHeight="1">
      <c r="A19" s="13" t="n">
        <v>12</v>
      </c>
      <c r="B19" s="14" t="inlineStr">
        <is>
          <t>علك فولي فولي باكت ١٢ حبة توتي</t>
        </is>
      </c>
      <c r="C19" s="13" t="n">
        <v>12</v>
      </c>
      <c r="D19" s="13" t="inlineStr">
        <is>
          <t>باكيت</t>
        </is>
      </c>
      <c r="E19" s="13" t="n">
        <v>1</v>
      </c>
      <c r="F19" s="97" t="n">
        <v>2.35</v>
      </c>
      <c r="G19" s="97" t="n">
        <v>2.35</v>
      </c>
      <c r="H19" s="96">
        <f>F19/C19</f>
        <v/>
      </c>
      <c r="I19" s="16">
        <f>C19*E19</f>
        <v/>
      </c>
      <c r="J19" s="14" t="inlineStr"/>
    </row>
    <row r="20" ht="22" customHeight="1">
      <c r="A20" s="13" t="n">
        <v>13</v>
      </c>
      <c r="B20" s="14" t="inlineStr">
        <is>
          <t>علك فولي فولي باكت ١٢ حبة فراولة</t>
        </is>
      </c>
      <c r="C20" s="13" t="n">
        <v>12</v>
      </c>
      <c r="D20" s="13" t="inlineStr">
        <is>
          <t>باكيت</t>
        </is>
      </c>
      <c r="E20" s="13" t="n">
        <v>1</v>
      </c>
      <c r="F20" s="97" t="n">
        <v>2.35</v>
      </c>
      <c r="G20" s="97" t="n">
        <v>2.35</v>
      </c>
      <c r="H20" s="96">
        <f>F20/C20</f>
        <v/>
      </c>
      <c r="I20" s="16">
        <f>C20*E20</f>
        <v/>
      </c>
      <c r="J20" s="14" t="inlineStr"/>
    </row>
    <row r="21" ht="22" customHeight="1">
      <c r="A21" s="13" t="n">
        <v>14</v>
      </c>
      <c r="B21" s="14" t="inlineStr">
        <is>
          <t>شيكولاتة ميلكا ليو ٣٣.٣ جم</t>
        </is>
      </c>
      <c r="C21" s="13" t="n">
        <v>4</v>
      </c>
      <c r="D21" s="13" t="inlineStr">
        <is>
          <t>باكيت</t>
        </is>
      </c>
      <c r="E21" s="13" t="n">
        <v>1</v>
      </c>
      <c r="F21" s="97" t="n">
        <v>7.9</v>
      </c>
      <c r="G21" s="97" t="n">
        <v>7.9</v>
      </c>
      <c r="H21" s="96">
        <f>F21/C21</f>
        <v/>
      </c>
      <c r="I21" s="16">
        <f>C21*E21</f>
        <v/>
      </c>
      <c r="J21" s="14" t="inlineStr"/>
    </row>
    <row r="22" ht="22" customHeight="1">
      <c r="A22" s="13" t="n">
        <v>15</v>
      </c>
      <c r="B22" s="14" t="inlineStr">
        <is>
          <t>جلي توتي فروتي فواكه ١٨ جم</t>
        </is>
      </c>
      <c r="C22" s="13" t="n">
        <v>30</v>
      </c>
      <c r="D22" s="13" t="inlineStr">
        <is>
          <t>باكيت</t>
        </is>
      </c>
      <c r="E22" s="13" t="n">
        <v>1</v>
      </c>
      <c r="F22" s="97" t="n">
        <v>3</v>
      </c>
      <c r="G22" s="97" t="n">
        <v>3</v>
      </c>
      <c r="H22" s="96">
        <f>F22/C22</f>
        <v/>
      </c>
      <c r="I22" s="16">
        <f>C22*E22</f>
        <v/>
      </c>
      <c r="J22" s="14" t="inlineStr"/>
    </row>
    <row r="23" ht="48" customHeight="1">
      <c r="A23" s="17" t="n">
        <v>16</v>
      </c>
      <c r="B23" s="18" t="inlineStr">
        <is>
          <t>شيكولاتة الماني كريسماس علب ٢٠ حبة ١٥ جم</t>
        </is>
      </c>
      <c r="C23" s="17" t="n">
        <v>1</v>
      </c>
      <c r="D23" s="17" t="inlineStr">
        <is>
          <t>علبة</t>
        </is>
      </c>
      <c r="E23" s="17" t="n">
        <v>1</v>
      </c>
      <c r="F23" s="98" t="n">
        <v>1.75</v>
      </c>
      <c r="G23" s="98" t="n">
        <v>1.75</v>
      </c>
      <c r="H23" s="96">
        <f>F23/C23</f>
        <v/>
      </c>
      <c r="I23" s="20">
        <f>C23*E23</f>
        <v/>
      </c>
      <c r="J23" s="21" t="inlineStr">
        <is>
          <t>الاسم يذكر 20 حبة بينما عمود الشد = 1. سعر الحبة في العمود محسوب على الشد. لو قُسم سعر الوحدة على 20 يصبح 0.0875 د.ك.</t>
        </is>
      </c>
    </row>
    <row r="24" ht="22" customHeight="1">
      <c r="A24" s="13" t="n">
        <v>17</v>
      </c>
      <c r="B24" s="14" t="inlineStr">
        <is>
          <t>جلي شوربونك كبير ٤٠ جم فراولة</t>
        </is>
      </c>
      <c r="C24" s="13" t="n">
        <v>24</v>
      </c>
      <c r="D24" s="13" t="inlineStr">
        <is>
          <t>باكيت</t>
        </is>
      </c>
      <c r="E24" s="13" t="n">
        <v>1</v>
      </c>
      <c r="F24" s="97" t="n">
        <v>2.75</v>
      </c>
      <c r="G24" s="97" t="n">
        <v>2.75</v>
      </c>
      <c r="H24" s="96">
        <f>F24/C24</f>
        <v/>
      </c>
      <c r="I24" s="16">
        <f>C24*E24</f>
        <v/>
      </c>
      <c r="J24" s="14" t="inlineStr"/>
    </row>
    <row r="25" ht="22" customHeight="1">
      <c r="A25" s="13" t="n">
        <v>18</v>
      </c>
      <c r="B25" s="14" t="inlineStr">
        <is>
          <t>شيكولاتة هرشيز بالحليب باكت ٤٠×٢٤ جم</t>
        </is>
      </c>
      <c r="C25" s="13" t="n">
        <v>24</v>
      </c>
      <c r="D25" s="13" t="inlineStr">
        <is>
          <t>باكيت</t>
        </is>
      </c>
      <c r="E25" s="13" t="n">
        <v>1</v>
      </c>
      <c r="F25" s="97" t="n">
        <v>5.5</v>
      </c>
      <c r="G25" s="97" t="n">
        <v>5.5</v>
      </c>
      <c r="H25" s="96">
        <f>F25/C25</f>
        <v/>
      </c>
      <c r="I25" s="16">
        <f>C25*E25</f>
        <v/>
      </c>
      <c r="J25" s="14" t="inlineStr"/>
    </row>
    <row r="26" ht="22" customHeight="1">
      <c r="A26" s="13" t="n">
        <v>19</v>
      </c>
      <c r="B26" s="14" t="inlineStr">
        <is>
          <t>جيلي عمي ميني الفراولة باكيت ١٥×٣٦ جم</t>
        </is>
      </c>
      <c r="C26" s="13" t="n">
        <v>36</v>
      </c>
      <c r="D26" s="13" t="inlineStr">
        <is>
          <t>باكيت</t>
        </is>
      </c>
      <c r="E26" s="13" t="n">
        <v>1</v>
      </c>
      <c r="F26" s="97" t="n">
        <v>1.75</v>
      </c>
      <c r="G26" s="97" t="n">
        <v>1.75</v>
      </c>
      <c r="H26" s="96">
        <f>F26/C26</f>
        <v/>
      </c>
      <c r="I26" s="16">
        <f>C26*E26</f>
        <v/>
      </c>
      <c r="J26" s="14" t="inlineStr"/>
    </row>
    <row r="27" ht="30" customHeight="1">
      <c r="A27" s="22" t="n">
        <v>20</v>
      </c>
      <c r="B27" s="23" t="inlineStr">
        <is>
          <t>مكسرات الرفاعي بذور مصرية كيس ١٨٠ جم</t>
        </is>
      </c>
      <c r="C27" s="22" t="n">
        <v>1</v>
      </c>
      <c r="D27" s="22" t="inlineStr">
        <is>
          <t>حبة</t>
        </is>
      </c>
      <c r="E27" s="22" t="n">
        <v>6</v>
      </c>
      <c r="F27" s="99" t="n">
        <v>0.583</v>
      </c>
      <c r="G27" s="99" t="n">
        <v>3.5</v>
      </c>
      <c r="H27" s="96">
        <f>F27/C27</f>
        <v/>
      </c>
      <c r="I27" s="25">
        <f>C27*E27</f>
        <v/>
      </c>
      <c r="J27" s="23" t="inlineStr">
        <is>
          <t>الوحدة حبة، فسعر الحبة هو سعر الوحدة نفسه.</t>
        </is>
      </c>
    </row>
    <row r="28" ht="30" customHeight="1">
      <c r="A28" s="22" t="n">
        <v>21</v>
      </c>
      <c r="B28" s="23" t="inlineStr">
        <is>
          <t>الرفاعي مكسرات مشكل كيس ٣٠٠ جم</t>
        </is>
      </c>
      <c r="C28" s="22" t="n">
        <v>1</v>
      </c>
      <c r="D28" s="22" t="inlineStr">
        <is>
          <t>حبة</t>
        </is>
      </c>
      <c r="E28" s="22" t="n">
        <v>6</v>
      </c>
      <c r="F28" s="99" t="n">
        <v>0.792</v>
      </c>
      <c r="G28" s="99" t="n">
        <v>4.75</v>
      </c>
      <c r="H28" s="96">
        <f>F28/C28</f>
        <v/>
      </c>
      <c r="I28" s="25">
        <f>C28*E28</f>
        <v/>
      </c>
      <c r="J28" s="23" t="inlineStr">
        <is>
          <t>الوحدة حبة، فسعر الحبة هو سعر الوحدة نفسه.</t>
        </is>
      </c>
    </row>
    <row r="29" ht="22" customHeight="1">
      <c r="A29" s="13" t="n">
        <v>22</v>
      </c>
      <c r="B29" s="14" t="inlineStr">
        <is>
          <t>بفك ذرة بوب بوب كيس ١٨×٣٠ جرام</t>
        </is>
      </c>
      <c r="C29" s="13" t="n">
        <v>30</v>
      </c>
      <c r="D29" s="13" t="inlineStr">
        <is>
          <t>باكيت</t>
        </is>
      </c>
      <c r="E29" s="13" t="n">
        <v>1</v>
      </c>
      <c r="F29" s="97" t="n">
        <v>1.4</v>
      </c>
      <c r="G29" s="97" t="n">
        <v>1.4</v>
      </c>
      <c r="H29" s="96">
        <f>F29/C29</f>
        <v/>
      </c>
      <c r="I29" s="16">
        <f>C29*E29</f>
        <v/>
      </c>
      <c r="J29" s="14" t="inlineStr"/>
    </row>
    <row r="30" ht="22" customHeight="1">
      <c r="A30" s="13" t="n">
        <v>23</v>
      </c>
      <c r="B30" s="14" t="inlineStr">
        <is>
          <t>لوتي علك تيوب كبير بنكهة التوتي فروتي ٣٥×٣٦ جم</t>
        </is>
      </c>
      <c r="C30" s="13" t="n">
        <v>36</v>
      </c>
      <c r="D30" s="13" t="inlineStr">
        <is>
          <t>باكيت</t>
        </is>
      </c>
      <c r="E30" s="13" t="n">
        <v>1</v>
      </c>
      <c r="F30" s="97" t="n">
        <v>7.95</v>
      </c>
      <c r="G30" s="97" t="n">
        <v>7.95</v>
      </c>
      <c r="H30" s="96">
        <f>F30/C30</f>
        <v/>
      </c>
      <c r="I30" s="16">
        <f>C30*E30</f>
        <v/>
      </c>
      <c r="J30" s="14" t="inlineStr"/>
    </row>
    <row r="31" ht="22" customHeight="1">
      <c r="A31" s="13" t="n">
        <v>24</v>
      </c>
      <c r="B31" s="14" t="inlineStr">
        <is>
          <t>علك لوتي رول اب توتي ٢٩×٢٤ جم</t>
        </is>
      </c>
      <c r="C31" s="13" t="n">
        <v>24</v>
      </c>
      <c r="D31" s="13" t="inlineStr">
        <is>
          <t>باكيت</t>
        </is>
      </c>
      <c r="E31" s="13" t="n">
        <v>1</v>
      </c>
      <c r="F31" s="97" t="n">
        <v>4.25</v>
      </c>
      <c r="G31" s="97" t="n">
        <v>4.25</v>
      </c>
      <c r="H31" s="96">
        <f>F31/C31</f>
        <v/>
      </c>
      <c r="I31" s="16">
        <f>C31*E31</f>
        <v/>
      </c>
      <c r="J31" s="14" t="inlineStr"/>
    </row>
    <row r="32" ht="30" customHeight="1">
      <c r="A32" s="22" t="n">
        <v>25</v>
      </c>
      <c r="B32" s="23" t="inlineStr">
        <is>
          <t>شعرية فائلاند اكواب بالفلفل ٨٠ جرام</t>
        </is>
      </c>
      <c r="C32" s="22" t="n">
        <v>1</v>
      </c>
      <c r="D32" s="22" t="inlineStr">
        <is>
          <t>حبة</t>
        </is>
      </c>
      <c r="E32" s="22" t="n">
        <v>6</v>
      </c>
      <c r="F32" s="99" t="n">
        <v>0.292</v>
      </c>
      <c r="G32" s="99" t="n">
        <v>1.75</v>
      </c>
      <c r="H32" s="96">
        <f>F32/C32</f>
        <v/>
      </c>
      <c r="I32" s="25">
        <f>C32*E32</f>
        <v/>
      </c>
      <c r="J32" s="23" t="inlineStr">
        <is>
          <t>الوحدة حبة، فسعر الحبة هو سعر الوحدة نفسه.</t>
        </is>
      </c>
    </row>
    <row r="33" ht="30" customHeight="1">
      <c r="A33" s="22" t="n">
        <v>26</v>
      </c>
      <c r="B33" s="23" t="inlineStr">
        <is>
          <t>شعرية فائلاند اكواب بدون فلفل ٨٠ جرام</t>
        </is>
      </c>
      <c r="C33" s="22" t="n">
        <v>1</v>
      </c>
      <c r="D33" s="22" t="inlineStr">
        <is>
          <t>حبة</t>
        </is>
      </c>
      <c r="E33" s="22" t="n">
        <v>6</v>
      </c>
      <c r="F33" s="99" t="n">
        <v>0.292</v>
      </c>
      <c r="G33" s="99" t="n">
        <v>1.75</v>
      </c>
      <c r="H33" s="96">
        <f>F33/C33</f>
        <v/>
      </c>
      <c r="I33" s="25">
        <f>C33*E33</f>
        <v/>
      </c>
      <c r="J33" s="23" t="inlineStr">
        <is>
          <t>الوحدة حبة، فسعر الحبة هو سعر الوحدة نفسه.</t>
        </is>
      </c>
    </row>
    <row r="34" ht="22" customHeight="1">
      <c r="A34" s="26" t="n">
        <v>27</v>
      </c>
      <c r="B34" s="27" t="inlineStr">
        <is>
          <t>شراب فيتامين سي كولامين بطل ١٥٠ مل</t>
        </is>
      </c>
      <c r="C34" s="26" t="n">
        <v>4</v>
      </c>
      <c r="D34" s="26" t="inlineStr">
        <is>
          <t>كرتون</t>
        </is>
      </c>
      <c r="E34" s="26" t="n">
        <v>1</v>
      </c>
      <c r="F34" s="100" t="n">
        <v>6</v>
      </c>
      <c r="G34" s="100" t="n">
        <v>6</v>
      </c>
      <c r="H34" s="96">
        <f>F34/C34</f>
        <v/>
      </c>
      <c r="I34" s="29">
        <f>C34*E34</f>
        <v/>
      </c>
      <c r="J34" s="27" t="inlineStr"/>
    </row>
    <row r="35" ht="22" customHeight="1">
      <c r="A35" s="26" t="n">
        <v>28</v>
      </c>
      <c r="B35" s="27" t="inlineStr">
        <is>
          <t>مشروب غازي كينزا ٢٥٠ مل</t>
        </is>
      </c>
      <c r="C35" s="26" t="n">
        <v>1</v>
      </c>
      <c r="D35" s="26" t="inlineStr">
        <is>
          <t>كرتون</t>
        </is>
      </c>
      <c r="E35" s="26" t="n">
        <v>2</v>
      </c>
      <c r="F35" s="100" t="n">
        <v>2.25</v>
      </c>
      <c r="G35" s="100" t="n">
        <v>4.5</v>
      </c>
      <c r="H35" s="96">
        <f>F35/C35</f>
        <v/>
      </c>
      <c r="I35" s="29">
        <f>C35*E35</f>
        <v/>
      </c>
      <c r="J35" s="27" t="inlineStr"/>
    </row>
    <row r="36" ht="22" customHeight="1">
      <c r="A36" s="26" t="n">
        <v>29</v>
      </c>
      <c r="B36" s="27" t="inlineStr">
        <is>
          <t>مشروب غازي فلاش وردي ٢٥٠ مل</t>
        </is>
      </c>
      <c r="C36" s="26" t="n">
        <v>24</v>
      </c>
      <c r="D36" s="26" t="inlineStr">
        <is>
          <t>كرتون</t>
        </is>
      </c>
      <c r="E36" s="26" t="n">
        <v>1</v>
      </c>
      <c r="F36" s="100" t="n">
        <v>5.75</v>
      </c>
      <c r="G36" s="100" t="n">
        <v>5.75</v>
      </c>
      <c r="H36" s="96">
        <f>F36/C36</f>
        <v/>
      </c>
      <c r="I36" s="29">
        <f>C36*E36</f>
        <v/>
      </c>
      <c r="J36" s="27" t="inlineStr"/>
    </row>
    <row r="37" ht="22" customHeight="1">
      <c r="A37" s="26" t="n">
        <v>30</v>
      </c>
      <c r="B37" s="27" t="inlineStr">
        <is>
          <t>مشروب غازي فلاش بنكهات طبيعية ٢٥٠ مل</t>
        </is>
      </c>
      <c r="C37" s="26" t="n">
        <v>24</v>
      </c>
      <c r="D37" s="26" t="inlineStr">
        <is>
          <t>كرتون</t>
        </is>
      </c>
      <c r="E37" s="26" t="n">
        <v>1</v>
      </c>
      <c r="F37" s="100" t="n">
        <v>5.75</v>
      </c>
      <c r="G37" s="100" t="n">
        <v>5.75</v>
      </c>
      <c r="H37" s="96">
        <f>F37/C37</f>
        <v/>
      </c>
      <c r="I37" s="29">
        <f>C37*E37</f>
        <v/>
      </c>
      <c r="J37" s="27" t="inlineStr"/>
    </row>
    <row r="38" ht="22" customHeight="1">
      <c r="A38" s="13" t="n">
        <v>31</v>
      </c>
      <c r="B38" s="14" t="inlineStr">
        <is>
          <t>سوبر مشروب غازي بنكهة التوتي فروتي ٢٥٠ مل</t>
        </is>
      </c>
      <c r="C38" s="13" t="n">
        <v>24</v>
      </c>
      <c r="D38" s="13" t="inlineStr">
        <is>
          <t>باكيت</t>
        </is>
      </c>
      <c r="E38" s="13" t="n">
        <v>1</v>
      </c>
      <c r="F38" s="97" t="n">
        <v>3</v>
      </c>
      <c r="G38" s="97" t="n">
        <v>3</v>
      </c>
      <c r="H38" s="96">
        <f>F38/C38</f>
        <v/>
      </c>
      <c r="I38" s="16">
        <f>C38*E38</f>
        <v/>
      </c>
      <c r="J38" s="14" t="inlineStr"/>
    </row>
    <row r="39" ht="22" customHeight="1">
      <c r="A39" s="26" t="n">
        <v>32</v>
      </c>
      <c r="B39" s="27" t="inlineStr">
        <is>
          <t>سوبر مشروب غازي بطعم الايس فانيلا والتوت ٢٥٠ مل</t>
        </is>
      </c>
      <c r="C39" s="26" t="n">
        <v>24</v>
      </c>
      <c r="D39" s="26" t="inlineStr">
        <is>
          <t>كرتون</t>
        </is>
      </c>
      <c r="E39" s="26" t="n">
        <v>2</v>
      </c>
      <c r="F39" s="100" t="n">
        <v>3.25</v>
      </c>
      <c r="G39" s="100" t="n">
        <v>6.5</v>
      </c>
      <c r="H39" s="96">
        <f>F39/C39</f>
        <v/>
      </c>
      <c r="I39" s="29">
        <f>C39*E39</f>
        <v/>
      </c>
      <c r="J39" s="27" t="inlineStr"/>
    </row>
    <row r="40" ht="30" customHeight="1">
      <c r="A40" s="22" t="n">
        <v>33</v>
      </c>
      <c r="B40" s="23" t="inlineStr">
        <is>
          <t>مكسرات الرفاعي حب الشمس مدخن ١٢٥ جم</t>
        </is>
      </c>
      <c r="C40" s="22" t="n">
        <v>1</v>
      </c>
      <c r="D40" s="22" t="inlineStr">
        <is>
          <t>حبة</t>
        </is>
      </c>
      <c r="E40" s="22" t="n">
        <v>6</v>
      </c>
      <c r="F40" s="99" t="n">
        <v>0.35</v>
      </c>
      <c r="G40" s="99" t="n">
        <v>2.1</v>
      </c>
      <c r="H40" s="96">
        <f>F40/C40</f>
        <v/>
      </c>
      <c r="I40" s="25">
        <f>C40*E40</f>
        <v/>
      </c>
      <c r="J40" s="23" t="inlineStr">
        <is>
          <t>الوحدة حبة، فسعر الحبة هو سعر الوحدة نفسه.</t>
        </is>
      </c>
    </row>
    <row r="41" ht="30" customHeight="1">
      <c r="A41" s="22" t="n">
        <v>34</v>
      </c>
      <c r="B41" s="23" t="inlineStr">
        <is>
          <t>الرفاعي حب دوار الشمس مملح ١٢٥ جم</t>
        </is>
      </c>
      <c r="C41" s="22" t="n">
        <v>1</v>
      </c>
      <c r="D41" s="22" t="inlineStr">
        <is>
          <t>حبة</t>
        </is>
      </c>
      <c r="E41" s="22" t="n">
        <v>6</v>
      </c>
      <c r="F41" s="99" t="n">
        <v>0.3</v>
      </c>
      <c r="G41" s="99" t="n">
        <v>1.8</v>
      </c>
      <c r="H41" s="96">
        <f>F41/C41</f>
        <v/>
      </c>
      <c r="I41" s="25">
        <f>C41*E41</f>
        <v/>
      </c>
      <c r="J41" s="23" t="inlineStr">
        <is>
          <t>الوحدة حبة، فسعر الحبة هو سعر الوحدة نفسه.</t>
        </is>
      </c>
    </row>
    <row r="42" ht="22" customHeight="1">
      <c r="A42" s="13" t="n">
        <v>35</v>
      </c>
      <c r="B42" s="14" t="inlineStr">
        <is>
          <t>يان يان اصابع بسكويت مع كريمة الفانيلا ٥٠ جم</t>
        </is>
      </c>
      <c r="C42" s="13" t="n">
        <v>10</v>
      </c>
      <c r="D42" s="13" t="inlineStr">
        <is>
          <t>باكيت</t>
        </is>
      </c>
      <c r="E42" s="13" t="n">
        <v>1</v>
      </c>
      <c r="F42" s="97" t="n">
        <v>2.4</v>
      </c>
      <c r="G42" s="97" t="n">
        <v>2.4</v>
      </c>
      <c r="H42" s="96">
        <f>F42/C42</f>
        <v/>
      </c>
      <c r="I42" s="16">
        <f>C42*E42</f>
        <v/>
      </c>
      <c r="J42" s="14" t="inlineStr"/>
    </row>
    <row r="43" ht="22" customHeight="1">
      <c r="A43" s="13" t="n">
        <v>36</v>
      </c>
      <c r="B43" s="14" t="inlineStr">
        <is>
          <t>يان يان اصابع بسكويت مع كريمة البندق ٤٤ جم</t>
        </is>
      </c>
      <c r="C43" s="13" t="n">
        <v>10</v>
      </c>
      <c r="D43" s="13" t="inlineStr">
        <is>
          <t>باكيت</t>
        </is>
      </c>
      <c r="E43" s="13" t="n">
        <v>1</v>
      </c>
      <c r="F43" s="97" t="n">
        <v>2.4</v>
      </c>
      <c r="G43" s="97" t="n">
        <v>2.4</v>
      </c>
      <c r="H43" s="96">
        <f>F43/C43</f>
        <v/>
      </c>
      <c r="I43" s="16">
        <f>C43*E43</f>
        <v/>
      </c>
      <c r="J43" s="14" t="inlineStr"/>
    </row>
    <row r="44" ht="22" customHeight="1">
      <c r="A44" s="13" t="n">
        <v>37</v>
      </c>
      <c r="B44" s="14" t="inlineStr">
        <is>
          <t>يان يان اصابع بسكويت مع كريمة الشوكولاتة ٥٠ جم</t>
        </is>
      </c>
      <c r="C44" s="13" t="n">
        <v>10</v>
      </c>
      <c r="D44" s="13" t="inlineStr">
        <is>
          <t>باكيت</t>
        </is>
      </c>
      <c r="E44" s="13" t="n">
        <v>1</v>
      </c>
      <c r="F44" s="97" t="n">
        <v>2.4</v>
      </c>
      <c r="G44" s="97" t="n">
        <v>2.4</v>
      </c>
      <c r="H44" s="96">
        <f>F44/C44</f>
        <v/>
      </c>
      <c r="I44" s="16">
        <f>C44*E44</f>
        <v/>
      </c>
      <c r="J44" s="14" t="inlineStr"/>
    </row>
    <row r="45" ht="22" customHeight="1">
      <c r="A45" s="13" t="n">
        <v>38</v>
      </c>
      <c r="B45" s="14" t="inlineStr">
        <is>
          <t>بسكويت هلوباندا ٢١×٣٠ جم</t>
        </is>
      </c>
      <c r="C45" s="13" t="n">
        <v>30</v>
      </c>
      <c r="D45" s="13" t="inlineStr">
        <is>
          <t>باكيت</t>
        </is>
      </c>
      <c r="E45" s="13" t="n">
        <v>1</v>
      </c>
      <c r="F45" s="97" t="n">
        <v>2.65</v>
      </c>
      <c r="G45" s="97" t="n">
        <v>2.65</v>
      </c>
      <c r="H45" s="96">
        <f>F45/C45</f>
        <v/>
      </c>
      <c r="I45" s="16">
        <f>C45*E45</f>
        <v/>
      </c>
      <c r="J45" s="14" t="inlineStr"/>
    </row>
    <row r="46" ht="22" customHeight="1">
      <c r="A46" s="13" t="n">
        <v>39</v>
      </c>
      <c r="B46" s="14" t="inlineStr">
        <is>
          <t>بسكويت هلوباندا بالشوكولاتة اكياس ٣٢ جم</t>
        </is>
      </c>
      <c r="C46" s="13" t="n">
        <v>2</v>
      </c>
      <c r="D46" s="13" t="inlineStr">
        <is>
          <t>باكيت</t>
        </is>
      </c>
      <c r="E46" s="13" t="n">
        <v>1</v>
      </c>
      <c r="F46" s="97" t="n">
        <v>3.2</v>
      </c>
      <c r="G46" s="97" t="n">
        <v>3.2</v>
      </c>
      <c r="H46" s="96">
        <f>F46/C46</f>
        <v/>
      </c>
      <c r="I46" s="16">
        <f>C46*E46</f>
        <v/>
      </c>
      <c r="J46" s="14" t="inlineStr"/>
    </row>
    <row r="47" ht="22" customHeight="1">
      <c r="A47" s="13" t="n">
        <v>40</v>
      </c>
      <c r="B47" s="14" t="inlineStr">
        <is>
          <t>بسكويت لواكر جاردينا بندق باكت ٣٨×٢٥ جم</t>
        </is>
      </c>
      <c r="C47" s="13" t="n">
        <v>25</v>
      </c>
      <c r="D47" s="13" t="inlineStr">
        <is>
          <t>باكيت</t>
        </is>
      </c>
      <c r="E47" s="13" t="n">
        <v>1</v>
      </c>
      <c r="F47" s="97" t="n">
        <v>5.75</v>
      </c>
      <c r="G47" s="97" t="n">
        <v>5.75</v>
      </c>
      <c r="H47" s="96">
        <f>F47/C47</f>
        <v/>
      </c>
      <c r="I47" s="16">
        <f>C47*E47</f>
        <v/>
      </c>
      <c r="J47" s="14" t="inlineStr"/>
    </row>
    <row r="48" ht="22" customHeight="1">
      <c r="A48" s="13" t="n">
        <v>41</v>
      </c>
      <c r="B48" s="14" t="inlineStr">
        <is>
          <t>بسكويت لواكر تورتينا ميني بندق باكت ٩×٥٠ جم</t>
        </is>
      </c>
      <c r="C48" s="13" t="n">
        <v>50</v>
      </c>
      <c r="D48" s="13" t="inlineStr">
        <is>
          <t>باكيت</t>
        </is>
      </c>
      <c r="E48" s="13" t="n">
        <v>1</v>
      </c>
      <c r="F48" s="97" t="n">
        <v>5.5</v>
      </c>
      <c r="G48" s="97" t="n">
        <v>5.5</v>
      </c>
      <c r="H48" s="96">
        <f>F48/C48</f>
        <v/>
      </c>
      <c r="I48" s="16">
        <f>C48*E48</f>
        <v/>
      </c>
      <c r="J48" s="14" t="inlineStr"/>
    </row>
    <row r="49" ht="22" customHeight="1">
      <c r="A49" s="13" t="n">
        <v>42</v>
      </c>
      <c r="B49" s="14" t="inlineStr">
        <is>
          <t>بسكويت لواكر نواكيني شيكولاتة باكت ١٠×٤٥ جم</t>
        </is>
      </c>
      <c r="C49" s="13" t="n">
        <v>45</v>
      </c>
      <c r="D49" s="13" t="inlineStr">
        <is>
          <t>باكيت</t>
        </is>
      </c>
      <c r="E49" s="13" t="n">
        <v>1</v>
      </c>
      <c r="F49" s="97" t="n">
        <v>5.5</v>
      </c>
      <c r="G49" s="97" t="n">
        <v>5.5</v>
      </c>
      <c r="H49" s="96">
        <f>F49/C49</f>
        <v/>
      </c>
      <c r="I49" s="16">
        <f>C49*E49</f>
        <v/>
      </c>
      <c r="J49" s="14" t="inlineStr"/>
    </row>
    <row r="50" ht="22" customHeight="1">
      <c r="A50" s="13" t="n">
        <v>43</v>
      </c>
      <c r="B50" s="14" t="inlineStr">
        <is>
          <t>شوكولاتة بيض كندر جوى ٤٨ حبة ولادي</t>
        </is>
      </c>
      <c r="C50" s="13" t="n">
        <v>48</v>
      </c>
      <c r="D50" s="13" t="inlineStr">
        <is>
          <t>باكيت</t>
        </is>
      </c>
      <c r="E50" s="13" t="n">
        <v>1</v>
      </c>
      <c r="F50" s="97" t="n">
        <v>12.75</v>
      </c>
      <c r="G50" s="97" t="n">
        <v>12.75</v>
      </c>
      <c r="H50" s="96">
        <f>F50/C50</f>
        <v/>
      </c>
      <c r="I50" s="16">
        <f>C50*E50</f>
        <v/>
      </c>
      <c r="J50" s="14" t="inlineStr"/>
    </row>
    <row r="51" ht="22" customHeight="1">
      <c r="A51" s="13" t="n">
        <v>44</v>
      </c>
      <c r="B51" s="14" t="inlineStr">
        <is>
          <t>بسكويت لواكر باكيت ٢٥ حبة احمر بندق</t>
        </is>
      </c>
      <c r="C51" s="13" t="n">
        <v>25</v>
      </c>
      <c r="D51" s="13" t="inlineStr">
        <is>
          <t>باكيت</t>
        </is>
      </c>
      <c r="E51" s="13" t="n">
        <v>1</v>
      </c>
      <c r="F51" s="97" t="n">
        <v>5.25</v>
      </c>
      <c r="G51" s="97" t="n">
        <v>5.25</v>
      </c>
      <c r="H51" s="96">
        <f>F51/C51</f>
        <v/>
      </c>
      <c r="I51" s="16">
        <f>C51*E51</f>
        <v/>
      </c>
      <c r="J51" s="14" t="inlineStr"/>
    </row>
    <row r="52" ht="48" customHeight="1">
      <c r="A52" s="13" t="n">
        <v>45</v>
      </c>
      <c r="B52" s="14" t="inlineStr">
        <is>
          <t>بسكويت لواكر ٢٥ حبة باكيت ازرق كاكاو</t>
        </is>
      </c>
      <c r="C52" s="13" t="n">
        <v>5</v>
      </c>
      <c r="D52" s="13" t="inlineStr">
        <is>
          <t>باكيت</t>
        </is>
      </c>
      <c r="E52" s="13" t="n">
        <v>1</v>
      </c>
      <c r="F52" s="97" t="n">
        <v>5.25</v>
      </c>
      <c r="G52" s="97" t="n">
        <v>5.25</v>
      </c>
      <c r="H52" s="96">
        <f>F52/C52</f>
        <v/>
      </c>
      <c r="I52" s="16">
        <f>C52*E52</f>
        <v/>
      </c>
      <c r="J52" s="21" t="inlineStr">
        <is>
          <t>الاسم يذكر 25 حبة بينما عمود الشد = 5. سعر الحبة في العمود محسوب على الشد. لو قُسم سعر الوحدة على 25 يصبح 0.2100 د.ك.</t>
        </is>
      </c>
    </row>
    <row r="53" ht="30" customHeight="1">
      <c r="A53" s="22" t="n">
        <v>46</v>
      </c>
      <c r="B53" s="23" t="inlineStr">
        <is>
          <t>نيوتيلا اند جو كريمة البندق والكاكاو واصابع الخبز ٥٢ جم</t>
        </is>
      </c>
      <c r="C53" s="22" t="n">
        <v>1</v>
      </c>
      <c r="D53" s="22" t="inlineStr">
        <is>
          <t>حبة</t>
        </is>
      </c>
      <c r="E53" s="22" t="n">
        <v>12</v>
      </c>
      <c r="F53" s="99" t="n">
        <v>0.396</v>
      </c>
      <c r="G53" s="99" t="n">
        <v>4.75</v>
      </c>
      <c r="H53" s="96">
        <f>F53/C53</f>
        <v/>
      </c>
      <c r="I53" s="25">
        <f>C53*E53</f>
        <v/>
      </c>
      <c r="J53" s="23" t="inlineStr">
        <is>
          <t>الوحدة حبة، فسعر الحبة هو سعر الوحدة نفسه.</t>
        </is>
      </c>
    </row>
    <row r="54" ht="22" customHeight="1">
      <c r="A54" s="13" t="n">
        <v>47</v>
      </c>
      <c r="B54" s="14" t="inlineStr">
        <is>
          <t>كيندر كاردس بحشوة الكاكاو والحليب ٢٥.٦ جم</t>
        </is>
      </c>
      <c r="C54" s="13" t="n">
        <v>3</v>
      </c>
      <c r="D54" s="13" t="inlineStr">
        <is>
          <t>باكيت</t>
        </is>
      </c>
      <c r="E54" s="13" t="n">
        <v>1</v>
      </c>
      <c r="F54" s="97" t="n">
        <v>5.5</v>
      </c>
      <c r="G54" s="97" t="n">
        <v>5.5</v>
      </c>
      <c r="H54" s="96">
        <f>F54/C54</f>
        <v/>
      </c>
      <c r="I54" s="16">
        <f>C54*E54</f>
        <v/>
      </c>
      <c r="J54" s="14" t="inlineStr"/>
    </row>
    <row r="55" ht="22" customHeight="1">
      <c r="A55" s="13" t="n">
        <v>48</v>
      </c>
      <c r="B55" s="14" t="inlineStr">
        <is>
          <t>نيوتيلا بسكويت محشو بكريمة البندق ٤١.٤ جم ×٣</t>
        </is>
      </c>
      <c r="C55" s="13" t="n">
        <v>4</v>
      </c>
      <c r="D55" s="13" t="inlineStr">
        <is>
          <t>باكيت</t>
        </is>
      </c>
      <c r="E55" s="13" t="n">
        <v>1</v>
      </c>
      <c r="F55" s="97" t="n">
        <v>5.75</v>
      </c>
      <c r="G55" s="97" t="n">
        <v>5.75</v>
      </c>
      <c r="H55" s="96">
        <f>F55/C55</f>
        <v/>
      </c>
      <c r="I55" s="16">
        <f>C55*E55</f>
        <v/>
      </c>
      <c r="J55" s="14" t="inlineStr"/>
    </row>
    <row r="56" ht="48" customHeight="1">
      <c r="A56" s="13" t="n">
        <v>49</v>
      </c>
      <c r="B56" s="14" t="inlineStr">
        <is>
          <t>بسكويت لواكر فانيليا باكت ٤٥×٥ جم</t>
        </is>
      </c>
      <c r="C56" s="13" t="n">
        <v>1</v>
      </c>
      <c r="D56" s="13" t="inlineStr">
        <is>
          <t>باكيت</t>
        </is>
      </c>
      <c r="E56" s="13" t="n">
        <v>2</v>
      </c>
      <c r="F56" s="97" t="n">
        <v>1.1</v>
      </c>
      <c r="G56" s="97" t="n">
        <v>2.2</v>
      </c>
      <c r="H56" s="96">
        <f>F56/C56</f>
        <v/>
      </c>
      <c r="I56" s="16">
        <f>C56*E56</f>
        <v/>
      </c>
      <c r="J56" s="21" t="inlineStr">
        <is>
          <t>الوزن في الاسم مكتوب ٤٥×٥ والشد في العمود = ١، فسعر الحبة حسب العمود يساوي سعر الباكيت.</t>
        </is>
      </c>
    </row>
    <row r="57" ht="48" customHeight="1">
      <c r="A57" s="17" t="n">
        <v>50</v>
      </c>
      <c r="B57" s="18" t="inlineStr">
        <is>
          <t>بسكويت لواكر بالحليب باكت ٤٥×٥ جم</t>
        </is>
      </c>
      <c r="C57" s="17" t="n">
        <v>1</v>
      </c>
      <c r="D57" s="17" t="inlineStr">
        <is>
          <t>علبة</t>
        </is>
      </c>
      <c r="E57" s="17" t="n">
        <v>2</v>
      </c>
      <c r="F57" s="98" t="n">
        <v>1.1</v>
      </c>
      <c r="G57" s="98" t="n">
        <v>2.2</v>
      </c>
      <c r="H57" s="96">
        <f>F57/C57</f>
        <v/>
      </c>
      <c r="I57" s="20">
        <f>C57*E57</f>
        <v/>
      </c>
      <c r="J57" s="21" t="inlineStr">
        <is>
          <t>الوحدة في الفاتورة علبة والشد = ١، والاسم يذكر باكت ٤٥×٥ جم.</t>
        </is>
      </c>
    </row>
    <row r="58" ht="22" customHeight="1">
      <c r="A58" s="13" t="n">
        <v>51</v>
      </c>
      <c r="B58" s="14" t="inlineStr">
        <is>
          <t>نيوتلا بي ريدي ويفر محشو بالنوتيلا ٢٢ جم</t>
        </is>
      </c>
      <c r="C58" s="13" t="n">
        <v>6</v>
      </c>
      <c r="D58" s="13" t="inlineStr">
        <is>
          <t>باكيت</t>
        </is>
      </c>
      <c r="E58" s="13" t="n">
        <v>1</v>
      </c>
      <c r="F58" s="97" t="n">
        <v>4.75</v>
      </c>
      <c r="G58" s="97" t="n">
        <v>4.75</v>
      </c>
      <c r="H58" s="96">
        <f>F58/C58</f>
        <v/>
      </c>
      <c r="I58" s="16">
        <f>C58*E58</f>
        <v/>
      </c>
      <c r="J58" s="14" t="inlineStr"/>
    </row>
    <row r="59" ht="48" customHeight="1">
      <c r="A59" s="13" t="n">
        <v>52</v>
      </c>
      <c r="B59" s="14" t="inlineStr">
        <is>
          <t>شوكولاتة فيريرو رافايلو ابيض باكيت ١٦ حبة</t>
        </is>
      </c>
      <c r="C59" s="13" t="n">
        <v>2</v>
      </c>
      <c r="D59" s="13" t="inlineStr">
        <is>
          <t>باكيت</t>
        </is>
      </c>
      <c r="E59" s="13" t="n">
        <v>1</v>
      </c>
      <c r="F59" s="97" t="n">
        <v>3.85</v>
      </c>
      <c r="G59" s="97" t="n">
        <v>3.85</v>
      </c>
      <c r="H59" s="96">
        <f>F59/C59</f>
        <v/>
      </c>
      <c r="I59" s="16">
        <f>C59*E59</f>
        <v/>
      </c>
      <c r="J59" s="21" t="inlineStr">
        <is>
          <t>الاسم يذكر 16 حبة بينما عمود الشد = 2. سعر الحبة في العمود محسوب على الشد. لو قُسم سعر الوحدة على 16 يصبح 0.2406 د.ك.</t>
        </is>
      </c>
    </row>
    <row r="60" ht="22" customHeight="1">
      <c r="A60" s="13" t="n">
        <v>53</v>
      </c>
      <c r="B60" s="14" t="inlineStr">
        <is>
          <t>شوكولاتة كادبوري ديري ميلك بايلي باكيت ٢٤×١٢ جم</t>
        </is>
      </c>
      <c r="C60" s="13" t="n">
        <v>12</v>
      </c>
      <c r="D60" s="13" t="inlineStr">
        <is>
          <t>باكيت</t>
        </is>
      </c>
      <c r="E60" s="13" t="n">
        <v>1</v>
      </c>
      <c r="F60" s="97" t="n">
        <v>1.9</v>
      </c>
      <c r="G60" s="97" t="n">
        <v>1.9</v>
      </c>
      <c r="H60" s="96">
        <f>F60/C60</f>
        <v/>
      </c>
      <c r="I60" s="16">
        <f>C60*E60</f>
        <v/>
      </c>
      <c r="J60" s="14" t="inlineStr"/>
    </row>
    <row r="61" ht="22" customHeight="1">
      <c r="A61" s="13" t="n">
        <v>54</v>
      </c>
      <c r="B61" s="14" t="inlineStr">
        <is>
          <t>شوكولاتة كادبوري ديري ميلك باكت ٣٢×١٢ جم</t>
        </is>
      </c>
      <c r="C61" s="13" t="n">
        <v>12</v>
      </c>
      <c r="D61" s="13" t="inlineStr">
        <is>
          <t>باكيت</t>
        </is>
      </c>
      <c r="E61" s="13" t="n">
        <v>1</v>
      </c>
      <c r="F61" s="97" t="n">
        <v>1.95</v>
      </c>
      <c r="G61" s="97" t="n">
        <v>1.95</v>
      </c>
      <c r="H61" s="96">
        <f>F61/C61</f>
        <v/>
      </c>
      <c r="I61" s="16">
        <f>C61*E61</f>
        <v/>
      </c>
      <c r="J61" s="14" t="inlineStr"/>
    </row>
    <row r="62" ht="22" customHeight="1">
      <c r="A62" s="13" t="n">
        <v>55</v>
      </c>
      <c r="B62" s="14" t="inlineStr">
        <is>
          <t>شوكولاتة نستلة ايرو صغير ١٨ جم</t>
        </is>
      </c>
      <c r="C62" s="13" t="n">
        <v>4</v>
      </c>
      <c r="D62" s="13" t="inlineStr">
        <is>
          <t>باكيت</t>
        </is>
      </c>
      <c r="E62" s="13" t="n">
        <v>1</v>
      </c>
      <c r="F62" s="97" t="n">
        <v>5.25</v>
      </c>
      <c r="G62" s="97" t="n">
        <v>5.25</v>
      </c>
      <c r="H62" s="96">
        <f>F62/C62</f>
        <v/>
      </c>
      <c r="I62" s="16">
        <f>C62*E62</f>
        <v/>
      </c>
      <c r="J62" s="14" t="inlineStr"/>
    </row>
    <row r="63" ht="48" customHeight="1">
      <c r="A63" s="13" t="n">
        <v>56</v>
      </c>
      <c r="B63" s="14" t="inlineStr">
        <is>
          <t>شوكولاتة كندر ترونكي علب ١٨×٨ جم</t>
        </is>
      </c>
      <c r="C63" s="13" t="n">
        <v>6</v>
      </c>
      <c r="D63" s="13" t="inlineStr">
        <is>
          <t>باكيت</t>
        </is>
      </c>
      <c r="E63" s="13" t="n">
        <v>1</v>
      </c>
      <c r="F63" s="97" t="n">
        <v>6.5</v>
      </c>
      <c r="G63" s="97" t="n">
        <v>6.5</v>
      </c>
      <c r="H63" s="96">
        <f>F63/C63</f>
        <v/>
      </c>
      <c r="I63" s="16">
        <f>C63*E63</f>
        <v/>
      </c>
      <c r="J63" s="21" t="inlineStr">
        <is>
          <t>الاسم يذكر 8 حبة بينما عمود الشد = 6. سعر الحبة في العمود محسوب على الشد. لو قُسم سعر الوحدة على 8 يصبح 0.8125 د.ك.</t>
        </is>
      </c>
    </row>
    <row r="64" ht="22" customHeight="1">
      <c r="A64" s="13" t="n">
        <v>57</v>
      </c>
      <c r="B64" s="14" t="inlineStr">
        <is>
          <t>شوكولاتة توبليرون اصفر باكت ٢٤ حبة</t>
        </is>
      </c>
      <c r="C64" s="13" t="n">
        <v>24</v>
      </c>
      <c r="D64" s="13" t="inlineStr">
        <is>
          <t>باكيت</t>
        </is>
      </c>
      <c r="E64" s="13" t="n">
        <v>1</v>
      </c>
      <c r="F64" s="97" t="n">
        <v>3.95</v>
      </c>
      <c r="G64" s="97" t="n">
        <v>3.95</v>
      </c>
      <c r="H64" s="96">
        <f>F64/C64</f>
        <v/>
      </c>
      <c r="I64" s="16">
        <f>C64*E64</f>
        <v/>
      </c>
      <c r="J64" s="14" t="inlineStr"/>
    </row>
    <row r="65" ht="22" customHeight="1">
      <c r="A65" s="13" t="n">
        <v>58</v>
      </c>
      <c r="B65" s="14" t="inlineStr">
        <is>
          <t>شوكولاتة كندر ماكسي باكيت ٣٢+٤ حبة</t>
        </is>
      </c>
      <c r="C65" s="13" t="n">
        <v>36</v>
      </c>
      <c r="D65" s="13" t="inlineStr">
        <is>
          <t>باكيت</t>
        </is>
      </c>
      <c r="E65" s="13" t="n">
        <v>1</v>
      </c>
      <c r="F65" s="97" t="n">
        <v>4.5</v>
      </c>
      <c r="G65" s="97" t="n">
        <v>4.5</v>
      </c>
      <c r="H65" s="96">
        <f>F65/C65</f>
        <v/>
      </c>
      <c r="I65" s="16">
        <f>C65*E65</f>
        <v/>
      </c>
      <c r="J65" s="14" t="inlineStr"/>
    </row>
    <row r="66" ht="22" customHeight="1">
      <c r="A66" s="30" t="n">
        <v>59</v>
      </c>
      <c r="B66" s="31" t="inlineStr">
        <is>
          <t>شوكولاتة كادبوري ديري ميلك باللوز والزبيب شريط ٣٣٥ جرام</t>
        </is>
      </c>
      <c r="C66" s="30" t="n">
        <v>5</v>
      </c>
      <c r="D66" s="30" t="inlineStr">
        <is>
          <t>شريط</t>
        </is>
      </c>
      <c r="E66" s="30" t="n">
        <v>2</v>
      </c>
      <c r="F66" s="101" t="n">
        <v>0.65</v>
      </c>
      <c r="G66" s="101" t="n">
        <v>1.3</v>
      </c>
      <c r="H66" s="96">
        <f>F66/C66</f>
        <v/>
      </c>
      <c r="I66" s="33">
        <f>C66*E66</f>
        <v/>
      </c>
      <c r="J66" s="31" t="inlineStr"/>
    </row>
    <row r="67" ht="22" customHeight="1">
      <c r="A67" s="30" t="n">
        <v>60</v>
      </c>
      <c r="B67" s="31" t="inlineStr">
        <is>
          <t>شوكولاتة كادبوري ديري ميلك بالبندق شريط ٣٣٥ جرام</t>
        </is>
      </c>
      <c r="C67" s="30" t="n">
        <v>5</v>
      </c>
      <c r="D67" s="30" t="inlineStr">
        <is>
          <t>شريط</t>
        </is>
      </c>
      <c r="E67" s="30" t="n">
        <v>2</v>
      </c>
      <c r="F67" s="101" t="n">
        <v>0.65</v>
      </c>
      <c r="G67" s="101" t="n">
        <v>1.3</v>
      </c>
      <c r="H67" s="96">
        <f>F67/C67</f>
        <v/>
      </c>
      <c r="I67" s="33">
        <f>C67*E67</f>
        <v/>
      </c>
      <c r="J67" s="31" t="inlineStr"/>
    </row>
    <row r="68" ht="22" customHeight="1">
      <c r="A68" s="13" t="n">
        <v>61</v>
      </c>
      <c r="B68" s="14" t="inlineStr">
        <is>
          <t>شوكولاتة كادبوري فليك باكيت ٤٨×١٢ جم</t>
        </is>
      </c>
      <c r="C68" s="13" t="n">
        <v>12</v>
      </c>
      <c r="D68" s="13" t="inlineStr">
        <is>
          <t>باكيت</t>
        </is>
      </c>
      <c r="E68" s="13" t="n">
        <v>1</v>
      </c>
      <c r="F68" s="97" t="n">
        <v>2.25</v>
      </c>
      <c r="G68" s="97" t="n">
        <v>2.25</v>
      </c>
      <c r="H68" s="96">
        <f>F68/C68</f>
        <v/>
      </c>
      <c r="I68" s="16">
        <f>C68*E68</f>
        <v/>
      </c>
      <c r="J68" s="14" t="inlineStr"/>
    </row>
    <row r="69" ht="22" customHeight="1">
      <c r="A69" s="26" t="n">
        <v>62</v>
      </c>
      <c r="B69" s="27" t="inlineStr">
        <is>
          <t>بطاطا برينجلز صغير بطعم البابريكا ٤٠ جم</t>
        </is>
      </c>
      <c r="C69" s="26" t="n">
        <v>12</v>
      </c>
      <c r="D69" s="26" t="inlineStr">
        <is>
          <t>كرتون</t>
        </is>
      </c>
      <c r="E69" s="26" t="n">
        <v>1</v>
      </c>
      <c r="F69" s="100" t="n">
        <v>3.25</v>
      </c>
      <c r="G69" s="100" t="n">
        <v>3.25</v>
      </c>
      <c r="H69" s="96">
        <f>F69/C69</f>
        <v/>
      </c>
      <c r="I69" s="29">
        <f>C69*E69</f>
        <v/>
      </c>
      <c r="J69" s="27" t="inlineStr"/>
    </row>
    <row r="70" ht="22" customHeight="1">
      <c r="A70" s="26" t="n">
        <v>63</v>
      </c>
      <c r="B70" s="27" t="inlineStr">
        <is>
          <t>بطاطا برينجلز صغير بطعم الاصلي ٤٠ جم</t>
        </is>
      </c>
      <c r="C70" s="26" t="n">
        <v>12</v>
      </c>
      <c r="D70" s="26" t="inlineStr">
        <is>
          <t>كرتون</t>
        </is>
      </c>
      <c r="E70" s="26" t="n">
        <v>1</v>
      </c>
      <c r="F70" s="100" t="n">
        <v>3.25</v>
      </c>
      <c r="G70" s="100" t="n">
        <v>3.25</v>
      </c>
      <c r="H70" s="96">
        <f>F70/C70</f>
        <v/>
      </c>
      <c r="I70" s="29">
        <f>C70*E70</f>
        <v/>
      </c>
      <c r="J70" s="27" t="inlineStr"/>
    </row>
    <row r="71" ht="22" customHeight="1">
      <c r="A71" s="13" t="n">
        <v>64</v>
      </c>
      <c r="B71" s="14" t="inlineStr">
        <is>
          <t>شوكولاتة كندر بيونو باكيت ٢٨+٢ حبة</t>
        </is>
      </c>
      <c r="C71" s="13" t="n">
        <v>30</v>
      </c>
      <c r="D71" s="13" t="inlineStr">
        <is>
          <t>باكيت</t>
        </is>
      </c>
      <c r="E71" s="13" t="n">
        <v>1</v>
      </c>
      <c r="F71" s="97" t="n">
        <v>6</v>
      </c>
      <c r="G71" s="97" t="n">
        <v>6</v>
      </c>
      <c r="H71" s="96">
        <f>F71/C71</f>
        <v/>
      </c>
      <c r="I71" s="16">
        <f>C71*E71</f>
        <v/>
      </c>
      <c r="J71" s="14" t="inlineStr"/>
    </row>
    <row r="72" ht="22" customHeight="1">
      <c r="A72" s="13" t="n">
        <v>65</v>
      </c>
      <c r="B72" s="14" t="inlineStr">
        <is>
          <t>شوكولاتة جالكسي مكسرات وفواكه ٣٠ جم</t>
        </is>
      </c>
      <c r="C72" s="13" t="n">
        <v>4</v>
      </c>
      <c r="D72" s="13" t="inlineStr">
        <is>
          <t>باكيت</t>
        </is>
      </c>
      <c r="E72" s="13" t="n">
        <v>1</v>
      </c>
      <c r="F72" s="97" t="n">
        <v>6.25</v>
      </c>
      <c r="G72" s="97" t="n">
        <v>6.25</v>
      </c>
      <c r="H72" s="96">
        <f>F72/C72</f>
        <v/>
      </c>
      <c r="I72" s="16">
        <f>C72*E72</f>
        <v/>
      </c>
      <c r="J72" s="14" t="inlineStr"/>
    </row>
    <row r="73" ht="22" customHeight="1">
      <c r="A73" s="13" t="n">
        <v>66</v>
      </c>
      <c r="B73" s="14" t="inlineStr">
        <is>
          <t>شوكولاتة سنيكرز باكيت ٢٤ حبة × ٥٠ جرام</t>
        </is>
      </c>
      <c r="C73" s="13" t="n">
        <v>24</v>
      </c>
      <c r="D73" s="13" t="inlineStr">
        <is>
          <t>باكيت</t>
        </is>
      </c>
      <c r="E73" s="13" t="n">
        <v>1</v>
      </c>
      <c r="F73" s="97" t="n">
        <v>5.5</v>
      </c>
      <c r="G73" s="97" t="n">
        <v>5.5</v>
      </c>
      <c r="H73" s="96">
        <f>F73/C73</f>
        <v/>
      </c>
      <c r="I73" s="16">
        <f>C73*E73</f>
        <v/>
      </c>
      <c r="J73" s="14" t="inlineStr"/>
    </row>
    <row r="74" ht="22" customHeight="1">
      <c r="A74" s="13" t="n">
        <v>67</v>
      </c>
      <c r="B74" s="14" t="inlineStr">
        <is>
          <t>شوكولاتة جالكسي سادة بالحليب ٣٠ جم</t>
        </is>
      </c>
      <c r="C74" s="13" t="n">
        <v>24</v>
      </c>
      <c r="D74" s="13" t="inlineStr">
        <is>
          <t>باكيت</t>
        </is>
      </c>
      <c r="E74" s="13" t="n">
        <v>1</v>
      </c>
      <c r="F74" s="97" t="n">
        <v>6.25</v>
      </c>
      <c r="G74" s="97" t="n">
        <v>6.25</v>
      </c>
      <c r="H74" s="96">
        <f>F74/C74</f>
        <v/>
      </c>
      <c r="I74" s="16">
        <f>C74*E74</f>
        <v/>
      </c>
      <c r="J74" s="14" t="inlineStr"/>
    </row>
    <row r="75" ht="22" customHeight="1">
      <c r="A75" s="13" t="n">
        <v>68</v>
      </c>
      <c r="B75" s="14" t="inlineStr">
        <is>
          <t>شوكولاتة جالكسي كراميل ٣٠ جم</t>
        </is>
      </c>
      <c r="C75" s="13" t="n">
        <v>24</v>
      </c>
      <c r="D75" s="13" t="inlineStr">
        <is>
          <t>باكيت</t>
        </is>
      </c>
      <c r="E75" s="13" t="n">
        <v>1</v>
      </c>
      <c r="F75" s="97" t="n">
        <v>6.25</v>
      </c>
      <c r="G75" s="97" t="n">
        <v>6.25</v>
      </c>
      <c r="H75" s="96">
        <f>F75/C75</f>
        <v/>
      </c>
      <c r="I75" s="16">
        <f>C75*E75</f>
        <v/>
      </c>
      <c r="J75" s="14" t="inlineStr"/>
    </row>
    <row r="76" ht="22" customHeight="1">
      <c r="A76" s="13" t="n">
        <v>69</v>
      </c>
      <c r="B76" s="14" t="inlineStr">
        <is>
          <t>شوكولاتة باونتي باكيت ٥٧ جرام</t>
        </is>
      </c>
      <c r="C76" s="13" t="n">
        <v>24</v>
      </c>
      <c r="D76" s="13" t="inlineStr">
        <is>
          <t>باكيت</t>
        </is>
      </c>
      <c r="E76" s="13" t="n">
        <v>1</v>
      </c>
      <c r="F76" s="97" t="n">
        <v>5.5</v>
      </c>
      <c r="G76" s="97" t="n">
        <v>5.5</v>
      </c>
      <c r="H76" s="96">
        <f>F76/C76</f>
        <v/>
      </c>
      <c r="I76" s="16">
        <f>C76*E76</f>
        <v/>
      </c>
      <c r="J76" s="14" t="inlineStr"/>
    </row>
    <row r="77" ht="22" customHeight="1">
      <c r="A77" s="13" t="n">
        <v>70</v>
      </c>
      <c r="B77" s="14" t="inlineStr">
        <is>
          <t>شوكولاتة نستلة كيت كات ٤ اصابع ٣٦.٥ جم</t>
        </is>
      </c>
      <c r="C77" s="13" t="n">
        <v>4</v>
      </c>
      <c r="D77" s="13" t="inlineStr">
        <is>
          <t>باكيت</t>
        </is>
      </c>
      <c r="E77" s="13" t="n">
        <v>1</v>
      </c>
      <c r="F77" s="97" t="n">
        <v>5.5</v>
      </c>
      <c r="G77" s="97" t="n">
        <v>5.5</v>
      </c>
      <c r="H77" s="96">
        <f>F77/C77</f>
        <v/>
      </c>
      <c r="I77" s="16">
        <f>C77*E77</f>
        <v/>
      </c>
      <c r="J77" s="14" t="inlineStr"/>
    </row>
    <row r="78" ht="22" customHeight="1">
      <c r="A78" s="13" t="n">
        <v>71</v>
      </c>
      <c r="B78" s="14" t="inlineStr">
        <is>
          <t>شوكولاتة مالتزرز ٣٧ جم</t>
        </is>
      </c>
      <c r="C78" s="13" t="n">
        <v>3</v>
      </c>
      <c r="D78" s="13" t="inlineStr">
        <is>
          <t>باكيت</t>
        </is>
      </c>
      <c r="E78" s="13" t="n">
        <v>1</v>
      </c>
      <c r="F78" s="97" t="n">
        <v>7.5</v>
      </c>
      <c r="G78" s="97" t="n">
        <v>7.5</v>
      </c>
      <c r="H78" s="96">
        <f>F78/C78</f>
        <v/>
      </c>
      <c r="I78" s="16">
        <f>C78*E78</f>
        <v/>
      </c>
      <c r="J78" s="14" t="inlineStr"/>
    </row>
    <row r="79" ht="22" customHeight="1">
      <c r="A79" s="13" t="n">
        <v>72</v>
      </c>
      <c r="B79" s="14" t="inlineStr">
        <is>
          <t>شوكولاتة كيت كات تشانكي كراميل ٤٢ جم</t>
        </is>
      </c>
      <c r="C79" s="13" t="n">
        <v>4</v>
      </c>
      <c r="D79" s="13" t="inlineStr">
        <is>
          <t>باكيت</t>
        </is>
      </c>
      <c r="E79" s="13" t="n">
        <v>1</v>
      </c>
      <c r="F79" s="97" t="n">
        <v>4.25</v>
      </c>
      <c r="G79" s="97" t="n">
        <v>4.25</v>
      </c>
      <c r="H79" s="96">
        <f>F79/C79</f>
        <v/>
      </c>
      <c r="I79" s="16">
        <f>C79*E79</f>
        <v/>
      </c>
      <c r="J79" s="14" t="inlineStr"/>
    </row>
    <row r="80" ht="22" customHeight="1">
      <c r="A80" s="13" t="n">
        <v>73</v>
      </c>
      <c r="B80" s="14" t="inlineStr">
        <is>
          <t>شوكولاتة نستلة كيت كات باكيت ٢٢+٨ مجانا (٥٣١ جم)</t>
        </is>
      </c>
      <c r="C80" s="13" t="n">
        <v>30</v>
      </c>
      <c r="D80" s="13" t="inlineStr">
        <is>
          <t>باكيت</t>
        </is>
      </c>
      <c r="E80" s="13" t="n">
        <v>1</v>
      </c>
      <c r="F80" s="97" t="n">
        <v>3.15</v>
      </c>
      <c r="G80" s="97" t="n">
        <v>3.15</v>
      </c>
      <c r="H80" s="96">
        <f>F80/C80</f>
        <v/>
      </c>
      <c r="I80" s="16">
        <f>C80*E80</f>
        <v/>
      </c>
      <c r="J80" s="14" t="inlineStr"/>
    </row>
    <row r="81" ht="22" customHeight="1">
      <c r="A81" s="13" t="n">
        <v>74</v>
      </c>
      <c r="B81" s="14" t="inlineStr">
        <is>
          <t>شوكولاتة نستلة ميلكي بار باكيت ١٢×٣ جم</t>
        </is>
      </c>
      <c r="C81" s="13" t="n">
        <v>3</v>
      </c>
      <c r="D81" s="13" t="inlineStr">
        <is>
          <t>باكيت</t>
        </is>
      </c>
      <c r="E81" s="13" t="n">
        <v>1</v>
      </c>
      <c r="F81" s="97" t="n">
        <v>4.75</v>
      </c>
      <c r="G81" s="97" t="n">
        <v>4.75</v>
      </c>
      <c r="H81" s="96">
        <f>F81/C81</f>
        <v/>
      </c>
      <c r="I81" s="16">
        <f>C81*E81</f>
        <v/>
      </c>
      <c r="J81" s="14" t="inlineStr"/>
    </row>
    <row r="82" ht="22" customHeight="1">
      <c r="A82" s="34" t="n">
        <v>75</v>
      </c>
      <c r="B82" s="35" t="inlineStr">
        <is>
          <t>شوكولاتة مارس شريط ٥٢×٢ جرام</t>
        </is>
      </c>
      <c r="C82" s="34" t="n">
        <v>2</v>
      </c>
      <c r="D82" s="34" t="inlineStr">
        <is>
          <t>ربطة</t>
        </is>
      </c>
      <c r="E82" s="34" t="n">
        <v>1</v>
      </c>
      <c r="F82" s="102" t="n">
        <v>2.25</v>
      </c>
      <c r="G82" s="102" t="n">
        <v>2.25</v>
      </c>
      <c r="H82" s="96">
        <f>F82/C82</f>
        <v/>
      </c>
      <c r="I82" s="37">
        <f>C82*E82</f>
        <v/>
      </c>
      <c r="J82" s="35" t="inlineStr"/>
    </row>
    <row r="83" ht="22" customHeight="1">
      <c r="A83" s="13" t="n">
        <v>76</v>
      </c>
      <c r="B83" s="14" t="inlineStr">
        <is>
          <t>شوكولاتة نستلة ايرو كبير باكت ٣٦ جم</t>
        </is>
      </c>
      <c r="C83" s="13" t="n">
        <v>4</v>
      </c>
      <c r="D83" s="13" t="inlineStr">
        <is>
          <t>باكيت</t>
        </is>
      </c>
      <c r="E83" s="13" t="n">
        <v>1</v>
      </c>
      <c r="F83" s="97" t="n">
        <v>4.75</v>
      </c>
      <c r="G83" s="97" t="n">
        <v>4.75</v>
      </c>
      <c r="H83" s="96">
        <f>F83/C83</f>
        <v/>
      </c>
      <c r="I83" s="16">
        <f>C83*E83</f>
        <v/>
      </c>
      <c r="J83" s="14" t="inlineStr"/>
    </row>
    <row r="84" ht="22" customHeight="1">
      <c r="A84" s="38" t="n">
        <v>77</v>
      </c>
      <c r="B84" s="39" t="inlineStr">
        <is>
          <t>بطاطا سيجول بنكهة الطماطم كيس ٢٥ حبة</t>
        </is>
      </c>
      <c r="C84" s="38" t="n">
        <v>25</v>
      </c>
      <c r="D84" s="38" t="inlineStr">
        <is>
          <t>كيس</t>
        </is>
      </c>
      <c r="E84" s="38" t="n">
        <v>1</v>
      </c>
      <c r="F84" s="103" t="n">
        <v>2.25</v>
      </c>
      <c r="G84" s="103" t="n">
        <v>2.25</v>
      </c>
      <c r="H84" s="96">
        <f>F84/C84</f>
        <v/>
      </c>
      <c r="I84" s="41">
        <f>C84*E84</f>
        <v/>
      </c>
      <c r="J84" s="39" t="inlineStr"/>
    </row>
    <row r="85" ht="22" customHeight="1">
      <c r="A85" s="38" t="n">
        <v>78</v>
      </c>
      <c r="B85" s="39" t="inlineStr">
        <is>
          <t>بطاطا عمان كيس ٢٥ حبة</t>
        </is>
      </c>
      <c r="C85" s="38" t="n">
        <v>25</v>
      </c>
      <c r="D85" s="38" t="inlineStr">
        <is>
          <t>كيس</t>
        </is>
      </c>
      <c r="E85" s="38" t="n">
        <v>2</v>
      </c>
      <c r="F85" s="103" t="n">
        <v>1.625</v>
      </c>
      <c r="G85" s="103" t="n">
        <v>3.25</v>
      </c>
      <c r="H85" s="96">
        <f>F85/C85</f>
        <v/>
      </c>
      <c r="I85" s="41">
        <f>C85*E85</f>
        <v/>
      </c>
      <c r="J85" s="39" t="inlineStr"/>
    </row>
    <row r="86" ht="22" customHeight="1">
      <c r="A86" s="13" t="n">
        <v>79</v>
      </c>
      <c r="B86" s="14" t="inlineStr">
        <is>
          <t>بفك سوبر رينج كبير كيس ١٠ حبة</t>
        </is>
      </c>
      <c r="C86" s="13" t="n">
        <v>10</v>
      </c>
      <c r="D86" s="13" t="inlineStr">
        <is>
          <t>باكيت</t>
        </is>
      </c>
      <c r="E86" s="13" t="n">
        <v>1</v>
      </c>
      <c r="F86" s="97" t="n">
        <v>3.5</v>
      </c>
      <c r="G86" s="97" t="n">
        <v>3.5</v>
      </c>
      <c r="H86" s="96">
        <f>F86/C86</f>
        <v/>
      </c>
      <c r="I86" s="16">
        <f>C86*E86</f>
        <v/>
      </c>
      <c r="J86" s="14" t="inlineStr"/>
    </row>
    <row r="87" ht="22" customHeight="1">
      <c r="A87" s="38" t="n">
        <v>80</v>
      </c>
      <c r="B87" s="39" t="inlineStr">
        <is>
          <t>بفك سوبر رينج صغير كيس ٣٠ حبة</t>
        </is>
      </c>
      <c r="C87" s="38" t="n">
        <v>30</v>
      </c>
      <c r="D87" s="38" t="inlineStr">
        <is>
          <t>كيس</t>
        </is>
      </c>
      <c r="E87" s="38" t="n">
        <v>1</v>
      </c>
      <c r="F87" s="103" t="n">
        <v>2.15</v>
      </c>
      <c r="G87" s="103" t="n">
        <v>2.15</v>
      </c>
      <c r="H87" s="96">
        <f>F87/C87</f>
        <v/>
      </c>
      <c r="I87" s="41">
        <f>C87*E87</f>
        <v/>
      </c>
      <c r="J87" s="39" t="inlineStr"/>
    </row>
    <row r="88" ht="48" customHeight="1">
      <c r="A88" s="34" t="n">
        <v>81</v>
      </c>
      <c r="B88" s="35" t="inlineStr">
        <is>
          <t>بفك انا خليجي كيس ٣٥ حبة</t>
        </is>
      </c>
      <c r="C88" s="34" t="n">
        <v>1</v>
      </c>
      <c r="D88" s="34" t="inlineStr">
        <is>
          <t>ربطة</t>
        </is>
      </c>
      <c r="E88" s="34" t="n">
        <v>1</v>
      </c>
      <c r="F88" s="102" t="n">
        <v>2.75</v>
      </c>
      <c r="G88" s="102" t="n">
        <v>2.75</v>
      </c>
      <c r="H88" s="96">
        <f>F88/C88</f>
        <v/>
      </c>
      <c r="I88" s="37">
        <f>C88*E88</f>
        <v/>
      </c>
      <c r="J88" s="21" t="inlineStr">
        <is>
          <t>الاسم يذكر 35 حبة بينما عمود الشد = 1. سعر الحبة في العمود محسوب على الشد. لو قُسم سعر الوحدة على 35 يصبح 0.0786 د.ك.</t>
        </is>
      </c>
    </row>
    <row r="89" ht="22" customHeight="1">
      <c r="A89" s="13" t="n">
        <v>82</v>
      </c>
      <c r="B89" s="14" t="inlineStr">
        <is>
          <t>بفك سوبر كورن بالجبن باكيت ١٢ حبة</t>
        </is>
      </c>
      <c r="C89" s="13" t="n">
        <v>12</v>
      </c>
      <c r="D89" s="13" t="inlineStr">
        <is>
          <t>باكيت</t>
        </is>
      </c>
      <c r="E89" s="13" t="n">
        <v>3</v>
      </c>
      <c r="F89" s="97" t="n">
        <v>1</v>
      </c>
      <c r="G89" s="97" t="n">
        <v>3</v>
      </c>
      <c r="H89" s="96">
        <f>F89/C89</f>
        <v/>
      </c>
      <c r="I89" s="16">
        <f>C89*E89</f>
        <v/>
      </c>
      <c r="J89" s="14" t="inlineStr"/>
    </row>
    <row r="90" ht="22" customHeight="1">
      <c r="A90" s="13" t="n">
        <v>83</v>
      </c>
      <c r="B90" s="14" t="inlineStr">
        <is>
          <t>شوكولاتة عصار اولكر بالبندق باكت ٤٠ جم</t>
        </is>
      </c>
      <c r="C90" s="13" t="n">
        <v>4</v>
      </c>
      <c r="D90" s="13" t="inlineStr">
        <is>
          <t>باكيت</t>
        </is>
      </c>
      <c r="E90" s="13" t="n">
        <v>1</v>
      </c>
      <c r="F90" s="97" t="n">
        <v>3.95</v>
      </c>
      <c r="G90" s="97" t="n">
        <v>3.95</v>
      </c>
      <c r="H90" s="96">
        <f>F90/C90</f>
        <v/>
      </c>
      <c r="I90" s="16">
        <f>C90*E90</f>
        <v/>
      </c>
      <c r="J90" s="14" t="inlineStr"/>
    </row>
    <row r="91" ht="22" customHeight="1">
      <c r="A91" s="13" t="n">
        <v>84</v>
      </c>
      <c r="B91" s="14" t="inlineStr">
        <is>
          <t>اولكر شوكو ويفر بكريمة البندق باكيت ١٢ حبة</t>
        </is>
      </c>
      <c r="C91" s="13" t="n">
        <v>12</v>
      </c>
      <c r="D91" s="13" t="inlineStr">
        <is>
          <t>باكيت</t>
        </is>
      </c>
      <c r="E91" s="13" t="n">
        <v>2</v>
      </c>
      <c r="F91" s="97" t="n">
        <v>0.8</v>
      </c>
      <c r="G91" s="97" t="n">
        <v>1.6</v>
      </c>
      <c r="H91" s="96">
        <f>F91/C91</f>
        <v/>
      </c>
      <c r="I91" s="16">
        <f>C91*E91</f>
        <v/>
      </c>
      <c r="J91" s="14" t="inlineStr"/>
    </row>
    <row r="92" ht="22" customHeight="1">
      <c r="A92" s="13" t="n">
        <v>85</v>
      </c>
      <c r="B92" s="14" t="inlineStr">
        <is>
          <t>بسكويت رولوكات اولكر باكت ٢٤ حبة</t>
        </is>
      </c>
      <c r="C92" s="13" t="n">
        <v>24</v>
      </c>
      <c r="D92" s="13" t="inlineStr">
        <is>
          <t>باكيت</t>
        </is>
      </c>
      <c r="E92" s="13" t="n">
        <v>1</v>
      </c>
      <c r="F92" s="97" t="n">
        <v>1.75</v>
      </c>
      <c r="G92" s="97" t="n">
        <v>1.75</v>
      </c>
      <c r="H92" s="96">
        <f>F92/C92</f>
        <v/>
      </c>
      <c r="I92" s="16">
        <f>C92*E92</f>
        <v/>
      </c>
      <c r="J92" s="14" t="inlineStr"/>
    </row>
    <row r="93" ht="22" customHeight="1">
      <c r="A93" s="26" t="n">
        <v>86</v>
      </c>
      <c r="B93" s="27" t="inlineStr">
        <is>
          <t>حليب كي دي دي باكت ٢٥٠ مل</t>
        </is>
      </c>
      <c r="C93" s="26" t="n">
        <v>4</v>
      </c>
      <c r="D93" s="26" t="inlineStr">
        <is>
          <t>كرتون</t>
        </is>
      </c>
      <c r="E93" s="26" t="n">
        <v>1</v>
      </c>
      <c r="F93" s="100" t="n">
        <v>3.25</v>
      </c>
      <c r="G93" s="100" t="n">
        <v>3.25</v>
      </c>
      <c r="H93" s="96">
        <f>F93/C93</f>
        <v/>
      </c>
      <c r="I93" s="29">
        <f>C93*E93</f>
        <v/>
      </c>
      <c r="J93" s="27" t="inlineStr"/>
    </row>
    <row r="94" ht="26" customHeight="1">
      <c r="A94" s="42" t="inlineStr">
        <is>
          <t>الإجمالي</t>
        </is>
      </c>
      <c r="B94" s="104" t="n"/>
      <c r="C94" s="104" t="n"/>
      <c r="D94" s="105" t="n"/>
      <c r="E94" s="43">
        <f>SUM(E8:E93)</f>
        <v/>
      </c>
      <c r="F94" s="42" t="n"/>
      <c r="G94" s="106">
        <f>SUM(G8:G93)</f>
        <v/>
      </c>
      <c r="H94" s="42" t="n"/>
      <c r="I94" s="45">
        <f>SUM(I8:I93)</f>
        <v/>
      </c>
      <c r="J94" s="42" t="n"/>
    </row>
    <row r="96" ht="36" customHeight="1">
      <c r="A96" s="5" t="inlineStr">
        <is>
          <t>تمت مطابقة مجموع الأسعار مع صافي الفاتورة 331.500 د.ك، ومجموع عمود العدد مع 141. الصفوف ذات الخلفية الوردية في عمود التنبيه فيها اختلاف بين عدد الحبات المكتوب في اسم الصنف وعمود الشد، والمبلغ المعتمد لسعر الحبة هو القسمة على عمود الشد.</t>
        </is>
      </c>
    </row>
    <row r="98">
      <c r="A98" s="46" t="inlineStr">
        <is>
          <t>دليل الألوان</t>
        </is>
      </c>
      <c r="B98" s="47" t="inlineStr">
        <is>
          <t>برطمان</t>
        </is>
      </c>
      <c r="C98" s="48" t="inlineStr">
        <is>
          <t>باكيت</t>
        </is>
      </c>
      <c r="D98" s="49" t="inlineStr">
        <is>
          <t>حبة</t>
        </is>
      </c>
      <c r="E98" s="50" t="inlineStr">
        <is>
          <t>كرتون</t>
        </is>
      </c>
      <c r="F98" s="51" t="inlineStr">
        <is>
          <t>علبة</t>
        </is>
      </c>
      <c r="G98" s="52" t="inlineStr">
        <is>
          <t>شريط</t>
        </is>
      </c>
      <c r="H98" s="53" t="inlineStr">
        <is>
          <t>كيس</t>
        </is>
      </c>
      <c r="I98" s="54" t="inlineStr">
        <is>
          <t>ربطة</t>
        </is>
      </c>
    </row>
  </sheetData>
  <autoFilter ref="A7:J93"/>
  <mergeCells count="7">
    <mergeCell ref="A94:D94"/>
    <mergeCell ref="A1:J1"/>
    <mergeCell ref="A5:J5"/>
    <mergeCell ref="A3:J3"/>
    <mergeCell ref="A4:J4"/>
    <mergeCell ref="A96:J96"/>
    <mergeCell ref="A2:J2"/>
  </mergeCells>
  <printOptions horizontalCentered="1"/>
  <pageMargins left="0.75" right="0.75" top="1" bottom="1" header="0.5" footer="0.5"/>
  <pageSetup orientation="landscape" paperSize="9" scale="70" fitToHeight="0" fitToWidth="1" horizontalDpi="300" verticalDpi="300"/>
  <headerFooter>
    <oddHeader>&amp;L&amp;Rفاتورة عالم الحلويات 26002232</oddHeader>
    <oddFooter>&amp;Cسعر الحبة = سعر الوحدة ÷ الشد    |    صفحة &amp;P من &amp;N</oddFooter>
    <evenHeader/>
    <evenFooter/>
    <firstHeader/>
    <firstFooter/>
  </headerFooter>
</worksheet>
</file>

<file path=xl/worksheets/sheet2.xml><?xml version="1.0" encoding="utf-8"?>
<worksheet xmlns="http://schemas.openxmlformats.org/spreadsheetml/2006/main">
  <sheetPr>
    <tabColor rgb="000D7377"/>
    <outlinePr summaryBelow="1" summaryRight="1"/>
    <pageSetUpPr fitToPage="1"/>
  </sheetPr>
  <dimension ref="A1:H79"/>
  <sheetViews>
    <sheetView showGridLines="0" rightToLeft="1" zoomScale="110" workbookViewId="0">
      <pane ySplit="7" topLeftCell="A8" activePane="bottomLeft" state="frozen"/>
      <selection pane="bottomLeft" activeCell="A1" sqref="A1"/>
    </sheetView>
  </sheetViews>
  <sheetFormatPr baseColWidth="8" defaultRowHeight="15"/>
  <cols>
    <col width="14" customWidth="1" min="1" max="1"/>
    <col width="62" customWidth="1" min="2" max="2"/>
    <col width="12" customWidth="1" min="3" max="3"/>
    <col width="12" customWidth="1" min="4" max="4"/>
    <col width="12" customWidth="1" min="5" max="5"/>
    <col width="20" customWidth="1" min="6" max="6"/>
    <col width="18" customWidth="1" min="7" max="7"/>
    <col width="55" customWidth="1" min="8" max="8"/>
  </cols>
  <sheetData>
    <row r="1" ht="32" customHeight="1">
      <c r="A1" s="55" t="inlineStr">
        <is>
          <t>أصناف الباكيت والبرطمان فقط — مرتبة من أرخص حبة إلى أغلاها</t>
        </is>
      </c>
    </row>
    <row r="2" ht="24" customHeight="1">
      <c r="A2" s="56" t="inlineStr">
        <is>
          <t>سعر الحبة = سعر الباكيت أو البرطمان ÷ عدد الشد. هذا هو سعر الحبة الواحدة داخل العبوة.</t>
        </is>
      </c>
    </row>
    <row r="3" ht="22" customHeight="1">
      <c r="A3" s="57" t="inlineStr">
        <is>
          <t>عدد أصناف الباكيت: 60    |    عدد أصناف البرطمان: 2    |    الفاتورة 26002232 بتاريخ 03/10/2026</t>
        </is>
      </c>
    </row>
    <row r="6" ht="30" customHeight="1">
      <c r="A6" s="58" t="inlineStr">
        <is>
          <t>رقم الصنف</t>
        </is>
      </c>
      <c r="B6" s="58" t="inlineStr">
        <is>
          <t>اسم الصنف</t>
        </is>
      </c>
      <c r="C6" s="58" t="inlineStr">
        <is>
          <t>الوحدة</t>
        </is>
      </c>
      <c r="D6" s="58" t="inlineStr">
        <is>
          <t>الشد</t>
        </is>
      </c>
      <c r="E6" s="58" t="inlineStr">
        <is>
          <t>العدد</t>
        </is>
      </c>
      <c r="F6" s="58" t="inlineStr">
        <is>
          <t>سعر العبوة (د.ك)</t>
        </is>
      </c>
      <c r="G6" s="7" t="inlineStr">
        <is>
          <t>سعر الحبة (د.ك)</t>
        </is>
      </c>
      <c r="H6" s="58" t="inlineStr">
        <is>
          <t>تنبيه</t>
        </is>
      </c>
    </row>
    <row r="7" ht="22" customHeight="1">
      <c r="A7" s="8" t="n">
        <v>1</v>
      </c>
      <c r="B7" s="9" t="inlineStr">
        <is>
          <t>مصاص ايل انتيكا مرطبان قلب احمر ٤٠ حبة</t>
        </is>
      </c>
      <c r="C7" s="8" t="inlineStr">
        <is>
          <t>برطمان</t>
        </is>
      </c>
      <c r="D7" s="8" t="n">
        <v>40</v>
      </c>
      <c r="E7" s="8" t="n">
        <v>1</v>
      </c>
      <c r="F7" s="95" t="n">
        <v>1.4</v>
      </c>
      <c r="G7" s="107">
        <f>F7/D7</f>
        <v/>
      </c>
      <c r="H7" s="60" t="inlineStr"/>
    </row>
    <row r="8" ht="22" customHeight="1">
      <c r="A8" s="8" t="n">
        <v>2</v>
      </c>
      <c r="B8" s="9" t="inlineStr">
        <is>
          <t>مصاص ايل انتيكا مرطبان بروش ازرق ٤٠ حبة</t>
        </is>
      </c>
      <c r="C8" s="8" t="inlineStr">
        <is>
          <t>برطمان</t>
        </is>
      </c>
      <c r="D8" s="8" t="n">
        <v>40</v>
      </c>
      <c r="E8" s="8" t="n">
        <v>1</v>
      </c>
      <c r="F8" s="95" t="n">
        <v>1.4</v>
      </c>
      <c r="G8" s="107">
        <f>F8/D8</f>
        <v/>
      </c>
      <c r="H8" s="60" t="inlineStr"/>
    </row>
    <row r="9" ht="22" customHeight="1">
      <c r="A9" s="13" t="n">
        <v>10</v>
      </c>
      <c r="B9" s="14" t="inlineStr">
        <is>
          <t>جلي بودينج ريكو ٤٠ جم مشكل</t>
        </is>
      </c>
      <c r="C9" s="13" t="inlineStr">
        <is>
          <t>باكيت</t>
        </is>
      </c>
      <c r="D9" s="13" t="n">
        <v>24</v>
      </c>
      <c r="E9" s="13" t="n">
        <v>3</v>
      </c>
      <c r="F9" s="97" t="n">
        <v>1.1</v>
      </c>
      <c r="G9" s="107">
        <f>F9/D9</f>
        <v/>
      </c>
      <c r="H9" s="61" t="inlineStr"/>
    </row>
    <row r="10" ht="22" customHeight="1">
      <c r="A10" s="13" t="n">
        <v>22</v>
      </c>
      <c r="B10" s="14" t="inlineStr">
        <is>
          <t>بفك ذرة بوب بوب كيس ١٨×٣٠ جرام</t>
        </is>
      </c>
      <c r="C10" s="13" t="inlineStr">
        <is>
          <t>باكيت</t>
        </is>
      </c>
      <c r="D10" s="13" t="n">
        <v>30</v>
      </c>
      <c r="E10" s="13" t="n">
        <v>1</v>
      </c>
      <c r="F10" s="97" t="n">
        <v>1.4</v>
      </c>
      <c r="G10" s="107">
        <f>F10/D10</f>
        <v/>
      </c>
      <c r="H10" s="61" t="inlineStr"/>
    </row>
    <row r="11" ht="22" customHeight="1">
      <c r="A11" s="13" t="n">
        <v>19</v>
      </c>
      <c r="B11" s="14" t="inlineStr">
        <is>
          <t>جيلي عمي ميني الفراولة باكيت ١٥×٣٦ جم</t>
        </is>
      </c>
      <c r="C11" s="13" t="inlineStr">
        <is>
          <t>باكيت</t>
        </is>
      </c>
      <c r="D11" s="13" t="n">
        <v>36</v>
      </c>
      <c r="E11" s="13" t="n">
        <v>1</v>
      </c>
      <c r="F11" s="97" t="n">
        <v>1.75</v>
      </c>
      <c r="G11" s="107">
        <f>F11/D11</f>
        <v/>
      </c>
      <c r="H11" s="61" t="inlineStr"/>
    </row>
    <row r="12" ht="22" customHeight="1">
      <c r="A12" s="13" t="n">
        <v>84</v>
      </c>
      <c r="B12" s="14" t="inlineStr">
        <is>
          <t>اولكر شوكو ويفر بكريمة البندق باكيت ١٢ حبة</t>
        </is>
      </c>
      <c r="C12" s="13" t="inlineStr">
        <is>
          <t>باكيت</t>
        </is>
      </c>
      <c r="D12" s="13" t="n">
        <v>12</v>
      </c>
      <c r="E12" s="13" t="n">
        <v>2</v>
      </c>
      <c r="F12" s="97" t="n">
        <v>0.8</v>
      </c>
      <c r="G12" s="107">
        <f>F12/D12</f>
        <v/>
      </c>
      <c r="H12" s="61" t="inlineStr"/>
    </row>
    <row r="13" ht="22" customHeight="1">
      <c r="A13" s="13" t="n">
        <v>85</v>
      </c>
      <c r="B13" s="14" t="inlineStr">
        <is>
          <t>بسكويت رولوكات اولكر باكت ٢٤ حبة</t>
        </is>
      </c>
      <c r="C13" s="13" t="inlineStr">
        <is>
          <t>باكيت</t>
        </is>
      </c>
      <c r="D13" s="13" t="n">
        <v>24</v>
      </c>
      <c r="E13" s="13" t="n">
        <v>1</v>
      </c>
      <c r="F13" s="97" t="n">
        <v>1.75</v>
      </c>
      <c r="G13" s="107">
        <f>F13/D13</f>
        <v/>
      </c>
      <c r="H13" s="61" t="inlineStr"/>
    </row>
    <row r="14" ht="22" customHeight="1">
      <c r="A14" s="13" t="n">
        <v>11</v>
      </c>
      <c r="B14" s="14" t="inlineStr">
        <is>
          <t>بسكويت اوريو اصلي باكيت ٣٦.٨×١٢ جم</t>
        </is>
      </c>
      <c r="C14" s="13" t="inlineStr">
        <is>
          <t>باكيت</t>
        </is>
      </c>
      <c r="D14" s="13" t="n">
        <v>12</v>
      </c>
      <c r="E14" s="13" t="n">
        <v>1</v>
      </c>
      <c r="F14" s="97" t="n">
        <v>0.95</v>
      </c>
      <c r="G14" s="107">
        <f>F14/D14</f>
        <v/>
      </c>
      <c r="H14" s="61" t="inlineStr"/>
    </row>
    <row r="15" ht="22" customHeight="1">
      <c r="A15" s="13" t="n">
        <v>3</v>
      </c>
      <c r="B15" s="14" t="inlineStr">
        <is>
          <t>ايتي بوب كيك بصلصة الشوكولاتة ٣٥ جم</t>
        </is>
      </c>
      <c r="C15" s="13" t="inlineStr">
        <is>
          <t>باكيت</t>
        </is>
      </c>
      <c r="D15" s="13" t="n">
        <v>24</v>
      </c>
      <c r="E15" s="13" t="n">
        <v>1</v>
      </c>
      <c r="F15" s="97" t="n">
        <v>1.95</v>
      </c>
      <c r="G15" s="107">
        <f>F15/D15</f>
        <v/>
      </c>
      <c r="H15" s="61" t="inlineStr"/>
    </row>
    <row r="16" ht="22" customHeight="1">
      <c r="A16" s="13" t="n">
        <v>82</v>
      </c>
      <c r="B16" s="14" t="inlineStr">
        <is>
          <t>بفك سوبر كورن بالجبن باكيت ١٢ حبة</t>
        </is>
      </c>
      <c r="C16" s="13" t="inlineStr">
        <is>
          <t>باكيت</t>
        </is>
      </c>
      <c r="D16" s="13" t="n">
        <v>12</v>
      </c>
      <c r="E16" s="13" t="n">
        <v>3</v>
      </c>
      <c r="F16" s="97" t="n">
        <v>1</v>
      </c>
      <c r="G16" s="107">
        <f>F16/D16</f>
        <v/>
      </c>
      <c r="H16" s="61" t="inlineStr"/>
    </row>
    <row r="17" ht="22" customHeight="1">
      <c r="A17" s="13" t="n">
        <v>38</v>
      </c>
      <c r="B17" s="14" t="inlineStr">
        <is>
          <t>بسكويت هلوباندا ٢١×٣٠ جم</t>
        </is>
      </c>
      <c r="C17" s="13" t="inlineStr">
        <is>
          <t>باكيت</t>
        </is>
      </c>
      <c r="D17" s="13" t="n">
        <v>30</v>
      </c>
      <c r="E17" s="13" t="n">
        <v>1</v>
      </c>
      <c r="F17" s="97" t="n">
        <v>2.65</v>
      </c>
      <c r="G17" s="107">
        <f>F17/D17</f>
        <v/>
      </c>
      <c r="H17" s="61" t="inlineStr"/>
    </row>
    <row r="18" ht="22" customHeight="1">
      <c r="A18" s="13" t="n">
        <v>6</v>
      </c>
      <c r="B18" s="14" t="inlineStr">
        <is>
          <t>بسكويت ريتز اصلي باكيت ٣٩.٦×١٢ جم</t>
        </is>
      </c>
      <c r="C18" s="13" t="inlineStr">
        <is>
          <t>باكيت</t>
        </is>
      </c>
      <c r="D18" s="13" t="n">
        <v>12</v>
      </c>
      <c r="E18" s="13" t="n">
        <v>1</v>
      </c>
      <c r="F18" s="97" t="n">
        <v>1.1</v>
      </c>
      <c r="G18" s="107">
        <f>F18/D18</f>
        <v/>
      </c>
      <c r="H18" s="61" t="inlineStr"/>
    </row>
    <row r="19" ht="22" customHeight="1">
      <c r="A19" s="13" t="n">
        <v>15</v>
      </c>
      <c r="B19" s="14" t="inlineStr">
        <is>
          <t>جلي توتي فروتي فواكه ١٨ جم</t>
        </is>
      </c>
      <c r="C19" s="13" t="inlineStr">
        <is>
          <t>باكيت</t>
        </is>
      </c>
      <c r="D19" s="13" t="n">
        <v>30</v>
      </c>
      <c r="E19" s="13" t="n">
        <v>1</v>
      </c>
      <c r="F19" s="97" t="n">
        <v>3</v>
      </c>
      <c r="G19" s="107">
        <f>F19/D19</f>
        <v/>
      </c>
      <c r="H19" s="61" t="inlineStr"/>
    </row>
    <row r="20" ht="22" customHeight="1">
      <c r="A20" s="13" t="n">
        <v>73</v>
      </c>
      <c r="B20" s="14" t="inlineStr">
        <is>
          <t>شوكولاتة نستلة كيت كات باكيت ٢٢+٨ مجانا (٥٣١ جم)</t>
        </is>
      </c>
      <c r="C20" s="13" t="inlineStr">
        <is>
          <t>باكيت</t>
        </is>
      </c>
      <c r="D20" s="13" t="n">
        <v>30</v>
      </c>
      <c r="E20" s="13" t="n">
        <v>1</v>
      </c>
      <c r="F20" s="97" t="n">
        <v>3.15</v>
      </c>
      <c r="G20" s="107">
        <f>F20/D20</f>
        <v/>
      </c>
      <c r="H20" s="61" t="inlineStr"/>
    </row>
    <row r="21" ht="22" customHeight="1">
      <c r="A21" s="13" t="n">
        <v>41</v>
      </c>
      <c r="B21" s="14" t="inlineStr">
        <is>
          <t>بسكويت لواكر تورتينا ميني بندق باكت ٩×٥٠ جم</t>
        </is>
      </c>
      <c r="C21" s="13" t="inlineStr">
        <is>
          <t>باكيت</t>
        </is>
      </c>
      <c r="D21" s="13" t="n">
        <v>50</v>
      </c>
      <c r="E21" s="13" t="n">
        <v>1</v>
      </c>
      <c r="F21" s="97" t="n">
        <v>5.5</v>
      </c>
      <c r="G21" s="107">
        <f>F21/D21</f>
        <v/>
      </c>
      <c r="H21" s="61" t="inlineStr"/>
    </row>
    <row r="22" ht="22" customHeight="1">
      <c r="A22" s="13" t="n">
        <v>17</v>
      </c>
      <c r="B22" s="14" t="inlineStr">
        <is>
          <t>جلي شوربونك كبير ٤٠ جم فراولة</t>
        </is>
      </c>
      <c r="C22" s="13" t="inlineStr">
        <is>
          <t>باكيت</t>
        </is>
      </c>
      <c r="D22" s="13" t="n">
        <v>24</v>
      </c>
      <c r="E22" s="13" t="n">
        <v>1</v>
      </c>
      <c r="F22" s="97" t="n">
        <v>2.75</v>
      </c>
      <c r="G22" s="107">
        <f>F22/D22</f>
        <v/>
      </c>
      <c r="H22" s="61" t="inlineStr"/>
    </row>
    <row r="23" ht="22" customHeight="1">
      <c r="A23" s="13" t="n">
        <v>42</v>
      </c>
      <c r="B23" s="14" t="inlineStr">
        <is>
          <t>بسكويت لواكر نواكيني شيكولاتة باكت ١٠×٤٥ جم</t>
        </is>
      </c>
      <c r="C23" s="13" t="inlineStr">
        <is>
          <t>باكيت</t>
        </is>
      </c>
      <c r="D23" s="13" t="n">
        <v>45</v>
      </c>
      <c r="E23" s="13" t="n">
        <v>1</v>
      </c>
      <c r="F23" s="97" t="n">
        <v>5.5</v>
      </c>
      <c r="G23" s="107">
        <f>F23/D23</f>
        <v/>
      </c>
      <c r="H23" s="61" t="inlineStr"/>
    </row>
    <row r="24" ht="22" customHeight="1">
      <c r="A24" s="13" t="n">
        <v>31</v>
      </c>
      <c r="B24" s="14" t="inlineStr">
        <is>
          <t>سوبر مشروب غازي بنكهة التوتي فروتي ٢٥٠ مل</t>
        </is>
      </c>
      <c r="C24" s="13" t="inlineStr">
        <is>
          <t>باكيت</t>
        </is>
      </c>
      <c r="D24" s="13" t="n">
        <v>24</v>
      </c>
      <c r="E24" s="13" t="n">
        <v>1</v>
      </c>
      <c r="F24" s="97" t="n">
        <v>3</v>
      </c>
      <c r="G24" s="107">
        <f>F24/D24</f>
        <v/>
      </c>
      <c r="H24" s="61" t="inlineStr"/>
    </row>
    <row r="25" ht="22" customHeight="1">
      <c r="A25" s="13" t="n">
        <v>58</v>
      </c>
      <c r="B25" s="14" t="inlineStr">
        <is>
          <t>شوكولاتة كندر ماكسي باكيت ٣٢+٤ حبة</t>
        </is>
      </c>
      <c r="C25" s="13" t="inlineStr">
        <is>
          <t>باكيت</t>
        </is>
      </c>
      <c r="D25" s="13" t="n">
        <v>36</v>
      </c>
      <c r="E25" s="13" t="n">
        <v>1</v>
      </c>
      <c r="F25" s="97" t="n">
        <v>4.5</v>
      </c>
      <c r="G25" s="107">
        <f>F25/D25</f>
        <v/>
      </c>
      <c r="H25" s="61" t="inlineStr"/>
    </row>
    <row r="26" ht="22" customHeight="1">
      <c r="A26" s="13" t="n">
        <v>7</v>
      </c>
      <c r="B26" s="14" t="inlineStr">
        <is>
          <t>رول اب حلوى يامي تريت باكيت ١٠ حبة</t>
        </is>
      </c>
      <c r="C26" s="13" t="inlineStr">
        <is>
          <t>باكيت</t>
        </is>
      </c>
      <c r="D26" s="13" t="n">
        <v>10</v>
      </c>
      <c r="E26" s="13" t="n">
        <v>3</v>
      </c>
      <c r="F26" s="97" t="n">
        <v>1.5</v>
      </c>
      <c r="G26" s="107">
        <f>F26/D26</f>
        <v/>
      </c>
      <c r="H26" s="61" t="inlineStr"/>
    </row>
    <row r="27" ht="22" customHeight="1">
      <c r="A27" s="13" t="n">
        <v>53</v>
      </c>
      <c r="B27" s="14" t="inlineStr">
        <is>
          <t>شوكولاتة كادبوري ديري ميلك بايلي باكيت ٢٤×١٢ جم</t>
        </is>
      </c>
      <c r="C27" s="13" t="inlineStr">
        <is>
          <t>باكيت</t>
        </is>
      </c>
      <c r="D27" s="13" t="n">
        <v>12</v>
      </c>
      <c r="E27" s="13" t="n">
        <v>1</v>
      </c>
      <c r="F27" s="97" t="n">
        <v>1.9</v>
      </c>
      <c r="G27" s="107">
        <f>F27/D27</f>
        <v/>
      </c>
      <c r="H27" s="61" t="inlineStr"/>
    </row>
    <row r="28" ht="22" customHeight="1">
      <c r="A28" s="13" t="n">
        <v>54</v>
      </c>
      <c r="B28" s="14" t="inlineStr">
        <is>
          <t>شوكولاتة كادبوري ديري ميلك باكت ٣٢×١٢ جم</t>
        </is>
      </c>
      <c r="C28" s="13" t="inlineStr">
        <is>
          <t>باكيت</t>
        </is>
      </c>
      <c r="D28" s="13" t="n">
        <v>12</v>
      </c>
      <c r="E28" s="13" t="n">
        <v>1</v>
      </c>
      <c r="F28" s="97" t="n">
        <v>1.95</v>
      </c>
      <c r="G28" s="107">
        <f>F28/D28</f>
        <v/>
      </c>
      <c r="H28" s="61" t="inlineStr"/>
    </row>
    <row r="29" ht="22" customHeight="1">
      <c r="A29" s="13" t="n">
        <v>57</v>
      </c>
      <c r="B29" s="14" t="inlineStr">
        <is>
          <t>شوكولاتة توبليرون اصفر باكت ٢٤ حبة</t>
        </is>
      </c>
      <c r="C29" s="13" t="inlineStr">
        <is>
          <t>باكيت</t>
        </is>
      </c>
      <c r="D29" s="13" t="n">
        <v>24</v>
      </c>
      <c r="E29" s="13" t="n">
        <v>1</v>
      </c>
      <c r="F29" s="97" t="n">
        <v>3.95</v>
      </c>
      <c r="G29" s="107">
        <f>F29/D29</f>
        <v/>
      </c>
      <c r="H29" s="61" t="inlineStr"/>
    </row>
    <row r="30" ht="22" customHeight="1">
      <c r="A30" s="13" t="n">
        <v>24</v>
      </c>
      <c r="B30" s="14" t="inlineStr">
        <is>
          <t>علك لوتي رول اب توتي ٢٩×٢٤ جم</t>
        </is>
      </c>
      <c r="C30" s="13" t="inlineStr">
        <is>
          <t>باكيت</t>
        </is>
      </c>
      <c r="D30" s="13" t="n">
        <v>24</v>
      </c>
      <c r="E30" s="13" t="n">
        <v>1</v>
      </c>
      <c r="F30" s="97" t="n">
        <v>4.25</v>
      </c>
      <c r="G30" s="107">
        <f>F30/D30</f>
        <v/>
      </c>
      <c r="H30" s="61" t="inlineStr"/>
    </row>
    <row r="31" ht="22" customHeight="1">
      <c r="A31" s="13" t="n">
        <v>61</v>
      </c>
      <c r="B31" s="14" t="inlineStr">
        <is>
          <t>شوكولاتة كادبوري فليك باكيت ٤٨×١٢ جم</t>
        </is>
      </c>
      <c r="C31" s="13" t="inlineStr">
        <is>
          <t>باكيت</t>
        </is>
      </c>
      <c r="D31" s="13" t="n">
        <v>12</v>
      </c>
      <c r="E31" s="13" t="n">
        <v>1</v>
      </c>
      <c r="F31" s="97" t="n">
        <v>2.25</v>
      </c>
      <c r="G31" s="107">
        <f>F31/D31</f>
        <v/>
      </c>
      <c r="H31" s="61" t="inlineStr"/>
    </row>
    <row r="32" ht="22" customHeight="1">
      <c r="A32" s="13" t="n">
        <v>12</v>
      </c>
      <c r="B32" s="14" t="inlineStr">
        <is>
          <t>علك فولي فولي باكت ١٢ حبة توتي</t>
        </is>
      </c>
      <c r="C32" s="13" t="inlineStr">
        <is>
          <t>باكيت</t>
        </is>
      </c>
      <c r="D32" s="13" t="n">
        <v>12</v>
      </c>
      <c r="E32" s="13" t="n">
        <v>1</v>
      </c>
      <c r="F32" s="97" t="n">
        <v>2.35</v>
      </c>
      <c r="G32" s="107">
        <f>F32/D32</f>
        <v/>
      </c>
      <c r="H32" s="61" t="inlineStr"/>
    </row>
    <row r="33" ht="22" customHeight="1">
      <c r="A33" s="13" t="n">
        <v>13</v>
      </c>
      <c r="B33" s="14" t="inlineStr">
        <is>
          <t>علك فولي فولي باكت ١٢ حبة فراولة</t>
        </is>
      </c>
      <c r="C33" s="13" t="inlineStr">
        <is>
          <t>باكيت</t>
        </is>
      </c>
      <c r="D33" s="13" t="n">
        <v>12</v>
      </c>
      <c r="E33" s="13" t="n">
        <v>1</v>
      </c>
      <c r="F33" s="97" t="n">
        <v>2.35</v>
      </c>
      <c r="G33" s="107">
        <f>F33/D33</f>
        <v/>
      </c>
      <c r="H33" s="61" t="inlineStr"/>
    </row>
    <row r="34" ht="22" customHeight="1">
      <c r="A34" s="13" t="n">
        <v>64</v>
      </c>
      <c r="B34" s="14" t="inlineStr">
        <is>
          <t>شوكولاتة كندر بيونو باكيت ٢٨+٢ حبة</t>
        </is>
      </c>
      <c r="C34" s="13" t="inlineStr">
        <is>
          <t>باكيت</t>
        </is>
      </c>
      <c r="D34" s="13" t="n">
        <v>30</v>
      </c>
      <c r="E34" s="13" t="n">
        <v>1</v>
      </c>
      <c r="F34" s="97" t="n">
        <v>6</v>
      </c>
      <c r="G34" s="107">
        <f>F34/D34</f>
        <v/>
      </c>
      <c r="H34" s="61" t="inlineStr"/>
    </row>
    <row r="35" ht="22" customHeight="1">
      <c r="A35" s="13" t="n">
        <v>44</v>
      </c>
      <c r="B35" s="14" t="inlineStr">
        <is>
          <t>بسكويت لواكر باكيت ٢٥ حبة احمر بندق</t>
        </is>
      </c>
      <c r="C35" s="13" t="inlineStr">
        <is>
          <t>باكيت</t>
        </is>
      </c>
      <c r="D35" s="13" t="n">
        <v>25</v>
      </c>
      <c r="E35" s="13" t="n">
        <v>1</v>
      </c>
      <c r="F35" s="97" t="n">
        <v>5.25</v>
      </c>
      <c r="G35" s="107">
        <f>F35/D35</f>
        <v/>
      </c>
      <c r="H35" s="61" t="inlineStr"/>
    </row>
    <row r="36" ht="22" customHeight="1">
      <c r="A36" s="13" t="n">
        <v>23</v>
      </c>
      <c r="B36" s="14" t="inlineStr">
        <is>
          <t>لوتي علك تيوب كبير بنكهة التوتي فروتي ٣٥×٣٦ جم</t>
        </is>
      </c>
      <c r="C36" s="13" t="inlineStr">
        <is>
          <t>باكيت</t>
        </is>
      </c>
      <c r="D36" s="13" t="n">
        <v>36</v>
      </c>
      <c r="E36" s="13" t="n">
        <v>1</v>
      </c>
      <c r="F36" s="97" t="n">
        <v>7.95</v>
      </c>
      <c r="G36" s="107">
        <f>F36/D36</f>
        <v/>
      </c>
      <c r="H36" s="61" t="inlineStr"/>
    </row>
    <row r="37" ht="22" customHeight="1">
      <c r="A37" s="13" t="n">
        <v>18</v>
      </c>
      <c r="B37" s="14" t="inlineStr">
        <is>
          <t>شيكولاتة هرشيز بالحليب باكت ٤٠×٢٤ جم</t>
        </is>
      </c>
      <c r="C37" s="13" t="inlineStr">
        <is>
          <t>باكيت</t>
        </is>
      </c>
      <c r="D37" s="13" t="n">
        <v>24</v>
      </c>
      <c r="E37" s="13" t="n">
        <v>1</v>
      </c>
      <c r="F37" s="97" t="n">
        <v>5.5</v>
      </c>
      <c r="G37" s="107">
        <f>F37/D37</f>
        <v/>
      </c>
      <c r="H37" s="61" t="inlineStr"/>
    </row>
    <row r="38" ht="22" customHeight="1">
      <c r="A38" s="13" t="n">
        <v>66</v>
      </c>
      <c r="B38" s="14" t="inlineStr">
        <is>
          <t>شوكولاتة سنيكرز باكيت ٢٤ حبة × ٥٠ جرام</t>
        </is>
      </c>
      <c r="C38" s="13" t="inlineStr">
        <is>
          <t>باكيت</t>
        </is>
      </c>
      <c r="D38" s="13" t="n">
        <v>24</v>
      </c>
      <c r="E38" s="13" t="n">
        <v>1</v>
      </c>
      <c r="F38" s="97" t="n">
        <v>5.5</v>
      </c>
      <c r="G38" s="107">
        <f>F38/D38</f>
        <v/>
      </c>
      <c r="H38" s="61" t="inlineStr"/>
    </row>
    <row r="39" ht="22" customHeight="1">
      <c r="A39" s="13" t="n">
        <v>69</v>
      </c>
      <c r="B39" s="14" t="inlineStr">
        <is>
          <t>شوكولاتة باونتي باكيت ٥٧ جرام</t>
        </is>
      </c>
      <c r="C39" s="13" t="inlineStr">
        <is>
          <t>باكيت</t>
        </is>
      </c>
      <c r="D39" s="13" t="n">
        <v>24</v>
      </c>
      <c r="E39" s="13" t="n">
        <v>1</v>
      </c>
      <c r="F39" s="97" t="n">
        <v>5.5</v>
      </c>
      <c r="G39" s="107">
        <f>F39/D39</f>
        <v/>
      </c>
      <c r="H39" s="61" t="inlineStr"/>
    </row>
    <row r="40" ht="22" customHeight="1">
      <c r="A40" s="13" t="n">
        <v>40</v>
      </c>
      <c r="B40" s="14" t="inlineStr">
        <is>
          <t>بسكويت لواكر جاردينا بندق باكت ٣٨×٢٥ جم</t>
        </is>
      </c>
      <c r="C40" s="13" t="inlineStr">
        <is>
          <t>باكيت</t>
        </is>
      </c>
      <c r="D40" s="13" t="n">
        <v>25</v>
      </c>
      <c r="E40" s="13" t="n">
        <v>1</v>
      </c>
      <c r="F40" s="97" t="n">
        <v>5.75</v>
      </c>
      <c r="G40" s="107">
        <f>F40/D40</f>
        <v/>
      </c>
      <c r="H40" s="61" t="inlineStr"/>
    </row>
    <row r="41" ht="22" customHeight="1">
      <c r="A41" s="13" t="n">
        <v>35</v>
      </c>
      <c r="B41" s="14" t="inlineStr">
        <is>
          <t>يان يان اصابع بسكويت مع كريمة الفانيلا ٥٠ جم</t>
        </is>
      </c>
      <c r="C41" s="13" t="inlineStr">
        <is>
          <t>باكيت</t>
        </is>
      </c>
      <c r="D41" s="13" t="n">
        <v>10</v>
      </c>
      <c r="E41" s="13" t="n">
        <v>1</v>
      </c>
      <c r="F41" s="97" t="n">
        <v>2.4</v>
      </c>
      <c r="G41" s="107">
        <f>F41/D41</f>
        <v/>
      </c>
      <c r="H41" s="61" t="inlineStr"/>
    </row>
    <row r="42" ht="22" customHeight="1">
      <c r="A42" s="13" t="n">
        <v>36</v>
      </c>
      <c r="B42" s="14" t="inlineStr">
        <is>
          <t>يان يان اصابع بسكويت مع كريمة البندق ٤٤ جم</t>
        </is>
      </c>
      <c r="C42" s="13" t="inlineStr">
        <is>
          <t>باكيت</t>
        </is>
      </c>
      <c r="D42" s="13" t="n">
        <v>10</v>
      </c>
      <c r="E42" s="13" t="n">
        <v>1</v>
      </c>
      <c r="F42" s="97" t="n">
        <v>2.4</v>
      </c>
      <c r="G42" s="107">
        <f>F42/D42</f>
        <v/>
      </c>
      <c r="H42" s="61" t="inlineStr"/>
    </row>
    <row r="43" ht="22" customHeight="1">
      <c r="A43" s="13" t="n">
        <v>37</v>
      </c>
      <c r="B43" s="14" t="inlineStr">
        <is>
          <t>يان يان اصابع بسكويت مع كريمة الشوكولاتة ٥٠ جم</t>
        </is>
      </c>
      <c r="C43" s="13" t="inlineStr">
        <is>
          <t>باكيت</t>
        </is>
      </c>
      <c r="D43" s="13" t="n">
        <v>10</v>
      </c>
      <c r="E43" s="13" t="n">
        <v>1</v>
      </c>
      <c r="F43" s="97" t="n">
        <v>2.4</v>
      </c>
      <c r="G43" s="107">
        <f>F43/D43</f>
        <v/>
      </c>
      <c r="H43" s="61" t="inlineStr"/>
    </row>
    <row r="44" ht="22" customHeight="1">
      <c r="A44" s="13" t="n">
        <v>67</v>
      </c>
      <c r="B44" s="14" t="inlineStr">
        <is>
          <t>شوكولاتة جالكسي سادة بالحليب ٣٠ جم</t>
        </is>
      </c>
      <c r="C44" s="13" t="inlineStr">
        <is>
          <t>باكيت</t>
        </is>
      </c>
      <c r="D44" s="13" t="n">
        <v>24</v>
      </c>
      <c r="E44" s="13" t="n">
        <v>1</v>
      </c>
      <c r="F44" s="97" t="n">
        <v>6.25</v>
      </c>
      <c r="G44" s="107">
        <f>F44/D44</f>
        <v/>
      </c>
      <c r="H44" s="61" t="inlineStr"/>
    </row>
    <row r="45" ht="22" customHeight="1">
      <c r="A45" s="13" t="n">
        <v>68</v>
      </c>
      <c r="B45" s="14" t="inlineStr">
        <is>
          <t>شوكولاتة جالكسي كراميل ٣٠ جم</t>
        </is>
      </c>
      <c r="C45" s="13" t="inlineStr">
        <is>
          <t>باكيت</t>
        </is>
      </c>
      <c r="D45" s="13" t="n">
        <v>24</v>
      </c>
      <c r="E45" s="13" t="n">
        <v>1</v>
      </c>
      <c r="F45" s="97" t="n">
        <v>6.25</v>
      </c>
      <c r="G45" s="107">
        <f>F45/D45</f>
        <v/>
      </c>
      <c r="H45" s="61" t="inlineStr"/>
    </row>
    <row r="46" ht="22" customHeight="1">
      <c r="A46" s="13" t="n">
        <v>43</v>
      </c>
      <c r="B46" s="14" t="inlineStr">
        <is>
          <t>شوكولاتة بيض كندر جوى ٤٨ حبة ولادي</t>
        </is>
      </c>
      <c r="C46" s="13" t="inlineStr">
        <is>
          <t>باكيت</t>
        </is>
      </c>
      <c r="D46" s="13" t="n">
        <v>48</v>
      </c>
      <c r="E46" s="13" t="n">
        <v>1</v>
      </c>
      <c r="F46" s="97" t="n">
        <v>12.75</v>
      </c>
      <c r="G46" s="107">
        <f>F46/D46</f>
        <v/>
      </c>
      <c r="H46" s="61" t="inlineStr"/>
    </row>
    <row r="47" ht="22" customHeight="1">
      <c r="A47" s="13" t="n">
        <v>4</v>
      </c>
      <c r="B47" s="14" t="inlineStr">
        <is>
          <t>علك ماكينة لاكي يورسويت مشكل ١٢ حبة</t>
        </is>
      </c>
      <c r="C47" s="13" t="inlineStr">
        <is>
          <t>باكيت</t>
        </is>
      </c>
      <c r="D47" s="13" t="n">
        <v>12</v>
      </c>
      <c r="E47" s="13" t="n">
        <v>1</v>
      </c>
      <c r="F47" s="97" t="n">
        <v>3.5</v>
      </c>
      <c r="G47" s="107">
        <f>F47/D47</f>
        <v/>
      </c>
      <c r="H47" s="61" t="inlineStr"/>
    </row>
    <row r="48" ht="22" customHeight="1">
      <c r="A48" s="13" t="n">
        <v>5</v>
      </c>
      <c r="B48" s="14" t="inlineStr">
        <is>
          <t>علك ماكينة سبين يورسويت مشكل ١٢ حبة</t>
        </is>
      </c>
      <c r="C48" s="13" t="inlineStr">
        <is>
          <t>باكيت</t>
        </is>
      </c>
      <c r="D48" s="13" t="n">
        <v>12</v>
      </c>
      <c r="E48" s="13" t="n">
        <v>1</v>
      </c>
      <c r="F48" s="97" t="n">
        <v>3.5</v>
      </c>
      <c r="G48" s="107">
        <f>F48/D48</f>
        <v/>
      </c>
      <c r="H48" s="61" t="inlineStr"/>
    </row>
    <row r="49" ht="22" customHeight="1">
      <c r="A49" s="13" t="n">
        <v>79</v>
      </c>
      <c r="B49" s="14" t="inlineStr">
        <is>
          <t>بفك سوبر رينج كبير كيس ١٠ حبة</t>
        </is>
      </c>
      <c r="C49" s="13" t="inlineStr">
        <is>
          <t>باكيت</t>
        </is>
      </c>
      <c r="D49" s="13" t="n">
        <v>10</v>
      </c>
      <c r="E49" s="13" t="n">
        <v>1</v>
      </c>
      <c r="F49" s="97" t="n">
        <v>3.5</v>
      </c>
      <c r="G49" s="107">
        <f>F49/D49</f>
        <v/>
      </c>
      <c r="H49" s="61" t="inlineStr"/>
    </row>
    <row r="50" ht="22" customHeight="1">
      <c r="A50" s="13" t="n">
        <v>8</v>
      </c>
      <c r="B50" s="14" t="inlineStr">
        <is>
          <t>جلي رسومات حيوانات فيدال كريبي ٦×١١</t>
        </is>
      </c>
      <c r="C50" s="13" t="inlineStr">
        <is>
          <t>باكيت</t>
        </is>
      </c>
      <c r="D50" s="13" t="n">
        <v>11</v>
      </c>
      <c r="E50" s="13" t="n">
        <v>1</v>
      </c>
      <c r="F50" s="97" t="n">
        <v>4.5</v>
      </c>
      <c r="G50" s="107">
        <f>F50/D50</f>
        <v/>
      </c>
      <c r="H50" s="61" t="inlineStr"/>
    </row>
    <row r="51" ht="22" customHeight="1">
      <c r="A51" s="13" t="n">
        <v>9</v>
      </c>
      <c r="B51" s="14" t="inlineStr">
        <is>
          <t>جلي رسومات حيوانات فيدال اوشن ٦×١١</t>
        </is>
      </c>
      <c r="C51" s="13" t="inlineStr">
        <is>
          <t>باكيت</t>
        </is>
      </c>
      <c r="D51" s="13" t="n">
        <v>11</v>
      </c>
      <c r="E51" s="13" t="n">
        <v>1</v>
      </c>
      <c r="F51" s="97" t="n">
        <v>4.5</v>
      </c>
      <c r="G51" s="107">
        <f>F51/D51</f>
        <v/>
      </c>
      <c r="H51" s="61" t="inlineStr"/>
    </row>
    <row r="52" ht="22" customHeight="1">
      <c r="A52" s="13" t="n">
        <v>51</v>
      </c>
      <c r="B52" s="14" t="inlineStr">
        <is>
          <t>نيوتلا بي ريدي ويفر محشو بالنوتيلا ٢٢ جم</t>
        </is>
      </c>
      <c r="C52" s="13" t="inlineStr">
        <is>
          <t>باكيت</t>
        </is>
      </c>
      <c r="D52" s="13" t="n">
        <v>6</v>
      </c>
      <c r="E52" s="13" t="n">
        <v>1</v>
      </c>
      <c r="F52" s="97" t="n">
        <v>4.75</v>
      </c>
      <c r="G52" s="107">
        <f>F52/D52</f>
        <v/>
      </c>
      <c r="H52" s="61" t="inlineStr"/>
    </row>
    <row r="53" ht="22" customHeight="1">
      <c r="A53" s="13" t="n">
        <v>83</v>
      </c>
      <c r="B53" s="14" t="inlineStr">
        <is>
          <t>شوكولاتة عصار اولكر بالبندق باكت ٤٠ جم</t>
        </is>
      </c>
      <c r="C53" s="13" t="inlineStr">
        <is>
          <t>باكيت</t>
        </is>
      </c>
      <c r="D53" s="13" t="n">
        <v>4</v>
      </c>
      <c r="E53" s="13" t="n">
        <v>1</v>
      </c>
      <c r="F53" s="97" t="n">
        <v>3.95</v>
      </c>
      <c r="G53" s="107">
        <f>F53/D53</f>
        <v/>
      </c>
      <c r="H53" s="61" t="inlineStr"/>
    </row>
    <row r="54" ht="48" customHeight="1">
      <c r="A54" s="13" t="n">
        <v>45</v>
      </c>
      <c r="B54" s="14" t="inlineStr">
        <is>
          <t>بسكويت لواكر ٢٥ حبة باكيت ازرق كاكاو</t>
        </is>
      </c>
      <c r="C54" s="13" t="inlineStr">
        <is>
          <t>باكيت</t>
        </is>
      </c>
      <c r="D54" s="13" t="n">
        <v>5</v>
      </c>
      <c r="E54" s="13" t="n">
        <v>1</v>
      </c>
      <c r="F54" s="97" t="n">
        <v>5.25</v>
      </c>
      <c r="G54" s="107">
        <f>F54/D54</f>
        <v/>
      </c>
      <c r="H54" s="62" t="inlineStr">
        <is>
          <t>الاسم يذكر 25 حبة بينما عمود الشد = 5. سعر الحبة في العمود محسوب على الشد. لو قُسم سعر الوحدة على 25 يصبح 0.2100 د.ك.</t>
        </is>
      </c>
    </row>
    <row r="55" ht="22" customHeight="1">
      <c r="A55" s="13" t="n">
        <v>72</v>
      </c>
      <c r="B55" s="14" t="inlineStr">
        <is>
          <t>شوكولاتة كيت كات تشانكي كراميل ٤٢ جم</t>
        </is>
      </c>
      <c r="C55" s="13" t="inlineStr">
        <is>
          <t>باكيت</t>
        </is>
      </c>
      <c r="D55" s="13" t="n">
        <v>4</v>
      </c>
      <c r="E55" s="13" t="n">
        <v>1</v>
      </c>
      <c r="F55" s="97" t="n">
        <v>4.25</v>
      </c>
      <c r="G55" s="107">
        <f>F55/D55</f>
        <v/>
      </c>
      <c r="H55" s="61" t="inlineStr"/>
    </row>
    <row r="56" ht="48" customHeight="1">
      <c r="A56" s="13" t="n">
        <v>56</v>
      </c>
      <c r="B56" s="14" t="inlineStr">
        <is>
          <t>شوكولاتة كندر ترونكي علب ١٨×٨ جم</t>
        </is>
      </c>
      <c r="C56" s="13" t="inlineStr">
        <is>
          <t>باكيت</t>
        </is>
      </c>
      <c r="D56" s="13" t="n">
        <v>6</v>
      </c>
      <c r="E56" s="13" t="n">
        <v>1</v>
      </c>
      <c r="F56" s="97" t="n">
        <v>6.5</v>
      </c>
      <c r="G56" s="107">
        <f>F56/D56</f>
        <v/>
      </c>
      <c r="H56" s="62" t="inlineStr">
        <is>
          <t>الاسم يذكر 8 حبة بينما عمود الشد = 6. سعر الحبة في العمود محسوب على الشد. لو قُسم سعر الوحدة على 8 يصبح 0.8125 د.ك.</t>
        </is>
      </c>
    </row>
    <row r="57" ht="48" customHeight="1">
      <c r="A57" s="13" t="n">
        <v>49</v>
      </c>
      <c r="B57" s="14" t="inlineStr">
        <is>
          <t>بسكويت لواكر فانيليا باكت ٤٥×٥ جم</t>
        </is>
      </c>
      <c r="C57" s="13" t="inlineStr">
        <is>
          <t>باكيت</t>
        </is>
      </c>
      <c r="D57" s="13" t="n">
        <v>1</v>
      </c>
      <c r="E57" s="13" t="n">
        <v>2</v>
      </c>
      <c r="F57" s="97" t="n">
        <v>1.1</v>
      </c>
      <c r="G57" s="107">
        <f>F57/D57</f>
        <v/>
      </c>
      <c r="H57" s="62" t="inlineStr">
        <is>
          <t>الوزن في الاسم مكتوب ٤٥×٥ والشد في العمود = ١، فسعر الحبة حسب العمود يساوي سعر الباكيت.</t>
        </is>
      </c>
    </row>
    <row r="58" ht="22" customHeight="1">
      <c r="A58" s="13" t="n">
        <v>76</v>
      </c>
      <c r="B58" s="14" t="inlineStr">
        <is>
          <t>شوكولاتة نستلة ايرو كبير باكت ٣٦ جم</t>
        </is>
      </c>
      <c r="C58" s="13" t="inlineStr">
        <is>
          <t>باكيت</t>
        </is>
      </c>
      <c r="D58" s="13" t="n">
        <v>4</v>
      </c>
      <c r="E58" s="13" t="n">
        <v>1</v>
      </c>
      <c r="F58" s="97" t="n">
        <v>4.75</v>
      </c>
      <c r="G58" s="107">
        <f>F58/D58</f>
        <v/>
      </c>
      <c r="H58" s="61" t="inlineStr"/>
    </row>
    <row r="59" ht="22" customHeight="1">
      <c r="A59" s="13" t="n">
        <v>55</v>
      </c>
      <c r="B59" s="14" t="inlineStr">
        <is>
          <t>شوكولاتة نستلة ايرو صغير ١٨ جم</t>
        </is>
      </c>
      <c r="C59" s="13" t="inlineStr">
        <is>
          <t>باكيت</t>
        </is>
      </c>
      <c r="D59" s="13" t="n">
        <v>4</v>
      </c>
      <c r="E59" s="13" t="n">
        <v>1</v>
      </c>
      <c r="F59" s="97" t="n">
        <v>5.25</v>
      </c>
      <c r="G59" s="107">
        <f>F59/D59</f>
        <v/>
      </c>
      <c r="H59" s="61" t="inlineStr"/>
    </row>
    <row r="60" ht="22" customHeight="1">
      <c r="A60" s="13" t="n">
        <v>70</v>
      </c>
      <c r="B60" s="14" t="inlineStr">
        <is>
          <t>شوكولاتة نستلة كيت كات ٤ اصابع ٣٦.٥ جم</t>
        </is>
      </c>
      <c r="C60" s="13" t="inlineStr">
        <is>
          <t>باكيت</t>
        </is>
      </c>
      <c r="D60" s="13" t="n">
        <v>4</v>
      </c>
      <c r="E60" s="13" t="n">
        <v>1</v>
      </c>
      <c r="F60" s="97" t="n">
        <v>5.5</v>
      </c>
      <c r="G60" s="107">
        <f>F60/D60</f>
        <v/>
      </c>
      <c r="H60" s="61" t="inlineStr"/>
    </row>
    <row r="61" ht="22" customHeight="1">
      <c r="A61" s="13" t="n">
        <v>48</v>
      </c>
      <c r="B61" s="14" t="inlineStr">
        <is>
          <t>نيوتيلا بسكويت محشو بكريمة البندق ٤١.٤ جم ×٣</t>
        </is>
      </c>
      <c r="C61" s="13" t="inlineStr">
        <is>
          <t>باكيت</t>
        </is>
      </c>
      <c r="D61" s="13" t="n">
        <v>4</v>
      </c>
      <c r="E61" s="13" t="n">
        <v>1</v>
      </c>
      <c r="F61" s="97" t="n">
        <v>5.75</v>
      </c>
      <c r="G61" s="107">
        <f>F61/D61</f>
        <v/>
      </c>
      <c r="H61" s="61" t="inlineStr"/>
    </row>
    <row r="62" ht="22" customHeight="1">
      <c r="A62" s="13" t="n">
        <v>65</v>
      </c>
      <c r="B62" s="14" t="inlineStr">
        <is>
          <t>شوكولاتة جالكسي مكسرات وفواكه ٣٠ جم</t>
        </is>
      </c>
      <c r="C62" s="13" t="inlineStr">
        <is>
          <t>باكيت</t>
        </is>
      </c>
      <c r="D62" s="13" t="n">
        <v>4</v>
      </c>
      <c r="E62" s="13" t="n">
        <v>1</v>
      </c>
      <c r="F62" s="97" t="n">
        <v>6.25</v>
      </c>
      <c r="G62" s="107">
        <f>F62/D62</f>
        <v/>
      </c>
      <c r="H62" s="61" t="inlineStr"/>
    </row>
    <row r="63" ht="22" customHeight="1">
      <c r="A63" s="13" t="n">
        <v>74</v>
      </c>
      <c r="B63" s="14" t="inlineStr">
        <is>
          <t>شوكولاتة نستلة ميلكي بار باكيت ١٢×٣ جم</t>
        </is>
      </c>
      <c r="C63" s="13" t="inlineStr">
        <is>
          <t>باكيت</t>
        </is>
      </c>
      <c r="D63" s="13" t="n">
        <v>3</v>
      </c>
      <c r="E63" s="13" t="n">
        <v>1</v>
      </c>
      <c r="F63" s="97" t="n">
        <v>4.75</v>
      </c>
      <c r="G63" s="107">
        <f>F63/D63</f>
        <v/>
      </c>
      <c r="H63" s="61" t="inlineStr"/>
    </row>
    <row r="64" ht="22" customHeight="1">
      <c r="A64" s="13" t="n">
        <v>39</v>
      </c>
      <c r="B64" s="14" t="inlineStr">
        <is>
          <t>بسكويت هلوباندا بالشوكولاتة اكياس ٣٢ جم</t>
        </is>
      </c>
      <c r="C64" s="13" t="inlineStr">
        <is>
          <t>باكيت</t>
        </is>
      </c>
      <c r="D64" s="13" t="n">
        <v>2</v>
      </c>
      <c r="E64" s="13" t="n">
        <v>1</v>
      </c>
      <c r="F64" s="97" t="n">
        <v>3.2</v>
      </c>
      <c r="G64" s="107">
        <f>F64/D64</f>
        <v/>
      </c>
      <c r="H64" s="61" t="inlineStr"/>
    </row>
    <row r="65" ht="22" customHeight="1">
      <c r="A65" s="13" t="n">
        <v>47</v>
      </c>
      <c r="B65" s="14" t="inlineStr">
        <is>
          <t>كيندر كاردس بحشوة الكاكاو والحليب ٢٥.٦ جم</t>
        </is>
      </c>
      <c r="C65" s="13" t="inlineStr">
        <is>
          <t>باكيت</t>
        </is>
      </c>
      <c r="D65" s="13" t="n">
        <v>3</v>
      </c>
      <c r="E65" s="13" t="n">
        <v>1</v>
      </c>
      <c r="F65" s="97" t="n">
        <v>5.5</v>
      </c>
      <c r="G65" s="107">
        <f>F65/D65</f>
        <v/>
      </c>
      <c r="H65" s="61" t="inlineStr"/>
    </row>
    <row r="66" ht="48" customHeight="1">
      <c r="A66" s="13" t="n">
        <v>52</v>
      </c>
      <c r="B66" s="14" t="inlineStr">
        <is>
          <t>شوكولاتة فيريرو رافايلو ابيض باكيت ١٦ حبة</t>
        </is>
      </c>
      <c r="C66" s="13" t="inlineStr">
        <is>
          <t>باكيت</t>
        </is>
      </c>
      <c r="D66" s="13" t="n">
        <v>2</v>
      </c>
      <c r="E66" s="13" t="n">
        <v>1</v>
      </c>
      <c r="F66" s="97" t="n">
        <v>3.85</v>
      </c>
      <c r="G66" s="107">
        <f>F66/D66</f>
        <v/>
      </c>
      <c r="H66" s="62" t="inlineStr">
        <is>
          <t>الاسم يذكر 16 حبة بينما عمود الشد = 2. سعر الحبة في العمود محسوب على الشد. لو قُسم سعر الوحدة على 16 يصبح 0.2406 د.ك.</t>
        </is>
      </c>
    </row>
    <row r="67" ht="22" customHeight="1">
      <c r="A67" s="13" t="n">
        <v>14</v>
      </c>
      <c r="B67" s="14" t="inlineStr">
        <is>
          <t>شيكولاتة ميلكا ليو ٣٣.٣ جم</t>
        </is>
      </c>
      <c r="C67" s="13" t="inlineStr">
        <is>
          <t>باكيت</t>
        </is>
      </c>
      <c r="D67" s="13" t="n">
        <v>4</v>
      </c>
      <c r="E67" s="13" t="n">
        <v>1</v>
      </c>
      <c r="F67" s="97" t="n">
        <v>7.9</v>
      </c>
      <c r="G67" s="107">
        <f>F67/D67</f>
        <v/>
      </c>
      <c r="H67" s="61" t="inlineStr"/>
    </row>
    <row r="68" ht="22" customHeight="1">
      <c r="A68" s="13" t="n">
        <v>71</v>
      </c>
      <c r="B68" s="14" t="inlineStr">
        <is>
          <t>شوكولاتة مالتزرز ٣٧ جم</t>
        </is>
      </c>
      <c r="C68" s="13" t="inlineStr">
        <is>
          <t>باكيت</t>
        </is>
      </c>
      <c r="D68" s="13" t="n">
        <v>3</v>
      </c>
      <c r="E68" s="13" t="n">
        <v>1</v>
      </c>
      <c r="F68" s="97" t="n">
        <v>7.5</v>
      </c>
      <c r="G68" s="107">
        <f>F68/D68</f>
        <v/>
      </c>
      <c r="H68" s="61" t="inlineStr"/>
    </row>
    <row r="69"/>
    <row r="70"/>
    <row r="71"/>
    <row r="72"/>
    <row r="73"/>
    <row r="74"/>
    <row r="75"/>
    <row r="76"/>
    <row r="77"/>
    <row r="78"/>
    <row r="79"/>
  </sheetData>
  <autoFilter ref="A6:H68"/>
  <mergeCells count="3">
    <mergeCell ref="A3:H3"/>
    <mergeCell ref="A2:H2"/>
    <mergeCell ref="A1:H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BF8F00"/>
    <outlinePr summaryBelow="1" summaryRight="1"/>
    <pageSetUpPr fitToPage="1"/>
  </sheetPr>
  <dimension ref="A1:F27"/>
  <sheetViews>
    <sheetView showGridLines="0" rightToLeft="1" zoomScale="110" workbookViewId="0">
      <pane ySplit="14" topLeftCell="A15" activePane="bottomLeft" state="frozen"/>
      <selection pane="bottomLeft" activeCell="A1" sqref="A1"/>
    </sheetView>
  </sheetViews>
  <sheetFormatPr baseColWidth="8" defaultRowHeight="15"/>
  <cols>
    <col width="22" customWidth="1" min="1" max="1"/>
    <col width="18" customWidth="1" min="2" max="2"/>
    <col width="18" customWidth="1" min="3" max="3"/>
    <col width="26" customWidth="1" min="4" max="4"/>
    <col width="18" customWidth="1" min="5" max="5"/>
    <col width="18" customWidth="1" min="6" max="6"/>
  </cols>
  <sheetData>
    <row r="1" ht="34" customHeight="1">
      <c r="A1" s="63" t="inlineStr">
        <is>
          <t>ملخص فاتورة عالم الحلويات رقم 26002232</t>
        </is>
      </c>
    </row>
    <row r="3" ht="24" customHeight="1">
      <c r="A3" s="64" t="inlineStr">
        <is>
          <t>بيانات الفاتورة</t>
        </is>
      </c>
    </row>
    <row r="4" ht="22" customHeight="1">
      <c r="A4" s="66" t="inlineStr">
        <is>
          <t>العميل</t>
        </is>
      </c>
      <c r="B4" s="67" t="inlineStr">
        <is>
          <t>شركة بقالة بيغ ياغ</t>
        </is>
      </c>
    </row>
    <row r="5" ht="22" customHeight="1">
      <c r="A5" s="66" t="inlineStr">
        <is>
          <t>رقم الحساب</t>
        </is>
      </c>
      <c r="B5" s="67" t="inlineStr">
        <is>
          <t>1815</t>
        </is>
      </c>
    </row>
    <row r="6" ht="22" customHeight="1">
      <c r="A6" s="66" t="inlineStr">
        <is>
          <t>رقم الفاتورة</t>
        </is>
      </c>
      <c r="B6" s="67" t="inlineStr">
        <is>
          <t>26002232</t>
        </is>
      </c>
    </row>
    <row r="7" ht="22" customHeight="1">
      <c r="A7" s="66" t="inlineStr">
        <is>
          <t>التاريخ</t>
        </is>
      </c>
      <c r="B7" s="67" t="inlineStr">
        <is>
          <t>03/10/2026</t>
        </is>
      </c>
    </row>
    <row r="8" ht="22" customHeight="1">
      <c r="A8" s="66" t="inlineStr">
        <is>
          <t>البائع</t>
        </is>
      </c>
      <c r="B8" s="67" t="inlineStr">
        <is>
          <t>gus</t>
        </is>
      </c>
    </row>
    <row r="9" ht="22" customHeight="1">
      <c r="A9" s="66" t="inlineStr">
        <is>
          <t>عدد الأصناف</t>
        </is>
      </c>
      <c r="B9" s="67" t="inlineStr">
        <is>
          <t>86</t>
        </is>
      </c>
    </row>
    <row r="10" ht="22" customHeight="1">
      <c r="A10" s="66" t="inlineStr">
        <is>
          <t>إجمالي عمود العدد</t>
        </is>
      </c>
      <c r="B10" s="67" t="inlineStr">
        <is>
          <t>141</t>
        </is>
      </c>
    </row>
    <row r="11" ht="22" customHeight="1">
      <c r="A11" s="66" t="inlineStr">
        <is>
          <t>صافي الفاتورة (د.ك)</t>
        </is>
      </c>
      <c r="B11" s="67" t="inlineStr">
        <is>
          <t>331.500</t>
        </is>
      </c>
    </row>
    <row r="14" ht="28" customHeight="1">
      <c r="A14" s="42" t="inlineStr">
        <is>
          <t>الوحدة</t>
        </is>
      </c>
      <c r="B14" s="42" t="inlineStr">
        <is>
          <t>عدد الأصناف</t>
        </is>
      </c>
      <c r="C14" s="42" t="inlineStr">
        <is>
          <t>مجموع العدد</t>
        </is>
      </c>
      <c r="D14" s="42" t="inlineStr">
        <is>
          <t>مجموع الإجمالي (د.ك)</t>
        </is>
      </c>
      <c r="E14" s="42" t="inlineStr">
        <is>
          <t>أقل سعر حبة</t>
        </is>
      </c>
      <c r="F14" s="42" t="inlineStr">
        <is>
          <t>أعلى سعر حبة</t>
        </is>
      </c>
    </row>
    <row r="15" ht="22" customHeight="1">
      <c r="A15" s="68" t="inlineStr">
        <is>
          <t>باكيت</t>
        </is>
      </c>
      <c r="B15" s="13" t="n">
        <v>60</v>
      </c>
      <c r="C15" s="13" t="n">
        <v>68</v>
      </c>
      <c r="D15" s="97" t="n">
        <v>250.85</v>
      </c>
      <c r="E15" s="108" t="n">
        <v>0.04583333333333333</v>
      </c>
      <c r="F15" s="108" t="n">
        <v>2.5</v>
      </c>
    </row>
    <row r="16" ht="22" customHeight="1">
      <c r="A16" s="70" t="inlineStr">
        <is>
          <t>برطمان</t>
        </is>
      </c>
      <c r="B16" s="8" t="n">
        <v>2</v>
      </c>
      <c r="C16" s="8" t="n">
        <v>2</v>
      </c>
      <c r="D16" s="95" t="n">
        <v>2.8</v>
      </c>
      <c r="E16" s="109" t="n">
        <v>0.035</v>
      </c>
      <c r="F16" s="109" t="n">
        <v>0.035</v>
      </c>
    </row>
    <row r="17" ht="22" customHeight="1">
      <c r="A17" s="72" t="inlineStr">
        <is>
          <t>حبة</t>
        </is>
      </c>
      <c r="B17" s="22" t="n">
        <v>7</v>
      </c>
      <c r="C17" s="22" t="n">
        <v>48</v>
      </c>
      <c r="D17" s="99" t="n">
        <v>20.4</v>
      </c>
      <c r="E17" s="110" t="n">
        <v>0.292</v>
      </c>
      <c r="F17" s="110" t="n">
        <v>0.792</v>
      </c>
    </row>
    <row r="18" ht="22" customHeight="1">
      <c r="A18" s="74" t="inlineStr">
        <is>
          <t>كرتون</t>
        </is>
      </c>
      <c r="B18" s="26" t="n">
        <v>8</v>
      </c>
      <c r="C18" s="26" t="n">
        <v>10</v>
      </c>
      <c r="D18" s="100" t="n">
        <v>38.25</v>
      </c>
      <c r="E18" s="111" t="n">
        <v>0.1354166666666667</v>
      </c>
      <c r="F18" s="111" t="n">
        <v>2.25</v>
      </c>
    </row>
    <row r="19" ht="22" customHeight="1">
      <c r="A19" s="76" t="inlineStr">
        <is>
          <t>كيس</t>
        </is>
      </c>
      <c r="B19" s="38" t="n">
        <v>3</v>
      </c>
      <c r="C19" s="38" t="n">
        <v>4</v>
      </c>
      <c r="D19" s="103" t="n">
        <v>7.65</v>
      </c>
      <c r="E19" s="112" t="n">
        <v>0.065</v>
      </c>
      <c r="F19" s="112" t="n">
        <v>0.09</v>
      </c>
    </row>
    <row r="20" ht="22" customHeight="1">
      <c r="A20" s="78" t="inlineStr">
        <is>
          <t>علبة</t>
        </is>
      </c>
      <c r="B20" s="17" t="n">
        <v>2</v>
      </c>
      <c r="C20" s="17" t="n">
        <v>3</v>
      </c>
      <c r="D20" s="98" t="n">
        <v>3.95</v>
      </c>
      <c r="E20" s="113" t="n">
        <v>1.1</v>
      </c>
      <c r="F20" s="113" t="n">
        <v>1.75</v>
      </c>
    </row>
    <row r="21" ht="22" customHeight="1">
      <c r="A21" s="80" t="inlineStr">
        <is>
          <t>شريط</t>
        </is>
      </c>
      <c r="B21" s="30" t="n">
        <v>2</v>
      </c>
      <c r="C21" s="30" t="n">
        <v>4</v>
      </c>
      <c r="D21" s="101" t="n">
        <v>2.6</v>
      </c>
      <c r="E21" s="114" t="n">
        <v>0.13</v>
      </c>
      <c r="F21" s="114" t="n">
        <v>0.13</v>
      </c>
    </row>
    <row r="22" ht="22" customHeight="1">
      <c r="A22" s="82" t="inlineStr">
        <is>
          <t>ربطة</t>
        </is>
      </c>
      <c r="B22" s="34" t="n">
        <v>2</v>
      </c>
      <c r="C22" s="34" t="n">
        <v>2</v>
      </c>
      <c r="D22" s="102" t="n">
        <v>5</v>
      </c>
      <c r="E22" s="115" t="n">
        <v>1.125</v>
      </c>
      <c r="F22" s="115" t="n">
        <v>2.75</v>
      </c>
    </row>
    <row r="23">
      <c r="A23" s="42" t="inlineStr">
        <is>
          <t>المجموع</t>
        </is>
      </c>
      <c r="B23" s="42">
        <f>SUM(B15:B22)</f>
        <v/>
      </c>
      <c r="C23" s="42">
        <f>SUM(C15:C22)</f>
        <v/>
      </c>
      <c r="D23" s="116">
        <f>SUM(D15:D22)</f>
        <v/>
      </c>
      <c r="E23" s="42" t="n"/>
      <c r="F23" s="42" t="n"/>
    </row>
    <row r="25" ht="28" customHeight="1">
      <c r="A25" s="85" t="inlineStr">
        <is>
          <t>سعر الحبة داخل أي عبوة = سعر الوحدة ÷ الشد. مثال: مصاص البرطمان سعره 1.400 والشد 40، فسعر الحبة 0.0350 د.ك.</t>
        </is>
      </c>
    </row>
    <row r="27" ht="48" customHeight="1">
      <c r="A27" s="86" t="inlineStr">
        <is>
          <t>خمسة أصناف يختلف فيها عدد الحبات المكتوب في الاسم عن عمود الشد، وهي موضحة في عمود التنبيه: الصنف 16 (علبة كريسماس)، 45 (لواكر ازرق)، 52 (رافايلو)، 56 (كندر ترونكي)، 81 (بفك انا خليجي). سعر الحبة المعتمد محسوب على عمود الشد كما هو مطبوع في الفاتورة.</t>
        </is>
      </c>
    </row>
  </sheetData>
  <mergeCells count="4">
    <mergeCell ref="A3:B3"/>
    <mergeCell ref="A1:F1"/>
    <mergeCell ref="A25:F25"/>
    <mergeCell ref="A27:F27"/>
  </mergeCells>
  <pageMargins left="0.75" right="0.75" top="1" bottom="1" header="0.5" footer="0.5"/>
  <pageSetup orientation="landscape" paperSize="9" fitToHeight="1" fitToWidth="1"/>
</worksheet>
</file>

<file path=xl/worksheets/sheet4.xml><?xml version="1.0" encoding="utf-8"?>
<worksheet xmlns="http://schemas.openxmlformats.org/spreadsheetml/2006/main">
  <sheetPr>
    <tabColor rgb="009C0006"/>
    <outlinePr summaryBelow="1" summaryRight="1"/>
    <pageSetUpPr fitToPage="1"/>
  </sheetPr>
  <dimension ref="A1:H12"/>
  <sheetViews>
    <sheetView showGridLines="0" rightToLeft="1" zoomScale="110" workbookViewId="0">
      <selection activeCell="A1" sqref="A1"/>
    </sheetView>
  </sheetViews>
  <sheetFormatPr baseColWidth="8" defaultRowHeight="15"/>
  <cols>
    <col width="10" customWidth="1" min="1" max="1"/>
    <col width="62" customWidth="1" min="2" max="2"/>
    <col width="12" customWidth="1" min="3" max="3"/>
    <col width="20" customWidth="1" min="4" max="4"/>
    <col width="18" customWidth="1" min="5" max="5"/>
    <col width="16" customWidth="1" min="6" max="6"/>
    <col width="24" customWidth="1" min="7" max="7"/>
    <col width="24" customWidth="1" min="8" max="8"/>
  </cols>
  <sheetData>
    <row r="1" ht="32" customHeight="1">
      <c r="A1" s="87" t="inlineStr">
        <is>
          <t>أصناف يحتاج رقم الشد فيها مراجعة — الاسم يذكر عدداً غير عمود الشد</t>
        </is>
      </c>
    </row>
    <row r="2" ht="28" customHeight="1">
      <c r="A2" s="88" t="inlineStr">
        <is>
          <t>سعر الحبة المعتمد في بقية الأوراق محسوب على عمود الشد المطبوع. هذا الجدول يعرض السعر البديل لو اعتُمد العدد المكتوب في اسم الصنف.</t>
        </is>
      </c>
    </row>
    <row r="4" ht="32" customHeight="1">
      <c r="A4" s="89" t="inlineStr">
        <is>
          <t>رقم</t>
        </is>
      </c>
      <c r="B4" s="89" t="inlineStr">
        <is>
          <t>اسم الصنف</t>
        </is>
      </c>
      <c r="C4" s="89" t="inlineStr">
        <is>
          <t>الوحدة</t>
        </is>
      </c>
      <c r="D4" s="89" t="inlineStr">
        <is>
          <t>الشد في الفاتورة</t>
        </is>
      </c>
      <c r="E4" s="89" t="inlineStr">
        <is>
          <t>العدد في الاسم</t>
        </is>
      </c>
      <c r="F4" s="89" t="inlineStr">
        <is>
          <t>سعر الوحدة</t>
        </is>
      </c>
      <c r="G4" s="89" t="inlineStr">
        <is>
          <t>سعر الحبة حسب الشد</t>
        </is>
      </c>
      <c r="H4" s="89" t="inlineStr">
        <is>
          <t>سعر الحبة حسب الاسم</t>
        </is>
      </c>
    </row>
    <row r="5" ht="24" customHeight="1">
      <c r="A5" s="90" t="n">
        <v>16</v>
      </c>
      <c r="B5" s="91" t="inlineStr">
        <is>
          <t>شيكولاتة الماني كريسماس علب ٢٠ حبة ١٥ جم</t>
        </is>
      </c>
      <c r="C5" s="90" t="inlineStr">
        <is>
          <t>علبة</t>
        </is>
      </c>
      <c r="D5" s="90" t="n">
        <v>1</v>
      </c>
      <c r="E5" s="90" t="n">
        <v>20</v>
      </c>
      <c r="F5" s="117" t="n">
        <v>1.75</v>
      </c>
      <c r="G5" s="118" t="n">
        <v>1.75</v>
      </c>
      <c r="H5" s="119" t="n">
        <v>0.08749999999999999</v>
      </c>
    </row>
    <row r="6" ht="24" customHeight="1">
      <c r="A6" s="90" t="n">
        <v>45</v>
      </c>
      <c r="B6" s="91" t="inlineStr">
        <is>
          <t>بسكويت لواكر ٢٥ حبة باكيت ازرق كاكاو</t>
        </is>
      </c>
      <c r="C6" s="90" t="inlineStr">
        <is>
          <t>باكيت</t>
        </is>
      </c>
      <c r="D6" s="90" t="n">
        <v>5</v>
      </c>
      <c r="E6" s="90" t="n">
        <v>25</v>
      </c>
      <c r="F6" s="117" t="n">
        <v>5.25</v>
      </c>
      <c r="G6" s="118" t="n">
        <v>1.05</v>
      </c>
      <c r="H6" s="119" t="n">
        <v>0.21</v>
      </c>
    </row>
    <row r="7" ht="24" customHeight="1">
      <c r="A7" s="90" t="n">
        <v>52</v>
      </c>
      <c r="B7" s="91" t="inlineStr">
        <is>
          <t>شوكولاتة فيريرو رافايلو ابيض باكيت ١٦ حبة</t>
        </is>
      </c>
      <c r="C7" s="90" t="inlineStr">
        <is>
          <t>باكيت</t>
        </is>
      </c>
      <c r="D7" s="90" t="n">
        <v>2</v>
      </c>
      <c r="E7" s="90" t="n">
        <v>16</v>
      </c>
      <c r="F7" s="117" t="n">
        <v>3.85</v>
      </c>
      <c r="G7" s="118" t="n">
        <v>1.925</v>
      </c>
      <c r="H7" s="119" t="n">
        <v>0.2406</v>
      </c>
    </row>
    <row r="8" ht="24" customHeight="1">
      <c r="A8" s="90" t="n">
        <v>56</v>
      </c>
      <c r="B8" s="91" t="inlineStr">
        <is>
          <t>شوكولاتة كندر ترونكي علب ١٨×٨ جم</t>
        </is>
      </c>
      <c r="C8" s="90" t="inlineStr">
        <is>
          <t>باكيت</t>
        </is>
      </c>
      <c r="D8" s="90" t="n">
        <v>6</v>
      </c>
      <c r="E8" s="90" t="n">
        <v>8</v>
      </c>
      <c r="F8" s="117" t="n">
        <v>6.5</v>
      </c>
      <c r="G8" s="118" t="n">
        <v>1.0833</v>
      </c>
      <c r="H8" s="119" t="n">
        <v>0.8125</v>
      </c>
    </row>
    <row r="9" ht="24" customHeight="1">
      <c r="A9" s="90" t="n">
        <v>81</v>
      </c>
      <c r="B9" s="91" t="inlineStr">
        <is>
          <t>بفك انا خليجي كيس ٣٥ حبة</t>
        </is>
      </c>
      <c r="C9" s="90" t="inlineStr">
        <is>
          <t>ربطة</t>
        </is>
      </c>
      <c r="D9" s="90" t="n">
        <v>1</v>
      </c>
      <c r="E9" s="90" t="n">
        <v>35</v>
      </c>
      <c r="F9" s="117" t="n">
        <v>2.75</v>
      </c>
      <c r="G9" s="118" t="n">
        <v>2.75</v>
      </c>
      <c r="H9" s="119" t="n">
        <v>0.0786</v>
      </c>
    </row>
    <row r="12" ht="28" customHeight="1">
      <c r="A12" s="85" t="inlineStr">
        <is>
          <t>مثال: رافايلو (صنف 52) سعر الباكيت 3.850. حسب الشد 2 تصبح الحبة 1.9250، وحسب الـ 16 حبة المكتوبة في الاسم تصبح الحبة 0.2406.</t>
        </is>
      </c>
    </row>
  </sheetData>
  <mergeCells count="3">
    <mergeCell ref="A12:H12"/>
    <mergeCell ref="A2:H2"/>
    <mergeCell ref="A1:H1"/>
  </mergeCells>
  <pageMargins left="0.75" right="0.75" top="1" bottom="1" header="0.5" footer="0.5"/>
  <pageSetup orientation="landscape"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World Sweets invoice piece-price sheet</dc:creator>
  <dc:title>فاتورة عالم الحلويات - سعر الحبة</dc:title>
  <dc:subject>فاتورة 26002232 بتاريخ 03/10/2026 - سعر الحبة الواحدة</dc:subject>
  <dcterms:created xsi:type="dcterms:W3CDTF">2026-10-06T15:03:19Z</dcterms:created>
  <dcterms:modified xsi:type="dcterms:W3CDTF">2026-10-06T15:03:42Z</dcterms:modified>
</cp:coreProperties>
</file>